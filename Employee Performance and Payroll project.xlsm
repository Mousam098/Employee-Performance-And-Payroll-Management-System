
<file path=[Content_Types].xml><?xml version="1.0" encoding="utf-8"?>
<Types xmlns="http://schemas.openxmlformats.org/package/2006/content-types">
  <Default Extension="png" ContentType="image/png"/>
  <Default Extension="svg" ContentType="image/svg+xml"/>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trlProps/ctrlProp2.xml" ContentType="application/vnd.ms-excel.controlproperties+xml"/>
  <Override PartName="/xl/slicers/slicer2.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hidePivotFieldList="1"/>
  <mc:AlternateContent xmlns:mc="http://schemas.openxmlformats.org/markup-compatibility/2006">
    <mc:Choice Requires="x15">
      <x15ac:absPath xmlns:x15ac="http://schemas.microsoft.com/office/spreadsheetml/2010/11/ac" url="D:\ANP-D5749\Arnik and Mousam\"/>
    </mc:Choice>
  </mc:AlternateContent>
  <xr:revisionPtr revIDLastSave="0" documentId="13_ncr:1_{784CA0FB-0B04-404F-8962-8FB5565A6589}" xr6:coauthVersionLast="37" xr6:coauthVersionMax="47" xr10:uidLastSave="{00000000-0000-0000-0000-000000000000}"/>
  <bookViews>
    <workbookView xWindow="0" yWindow="0" windowWidth="19200" windowHeight="8020" firstSheet="1" activeTab="6" xr2:uid="{2DF9EBB5-B70A-4F63-8EE2-EF984706CEBF}"/>
  </bookViews>
  <sheets>
    <sheet name="Instructions" sheetId="3" r:id="rId1"/>
    <sheet name="Data cleaning process" sheetId="12" r:id="rId2"/>
    <sheet name="Raw data" sheetId="1" r:id="rId3"/>
    <sheet name="Sum of salary" sheetId="14" r:id="rId4"/>
    <sheet name="Cleaning Data" sheetId="2" r:id="rId5"/>
    <sheet name="Pivot Table" sheetId="6" r:id="rId6"/>
    <sheet name="Dashboard" sheetId="4" r:id="rId7"/>
  </sheets>
  <definedNames>
    <definedName name="_xlcn.WorksheetConnection_CleaningDataA1I101" hidden="1">'Cleaning Data'!$A$1:$I$101</definedName>
    <definedName name="_xlcn.WorksheetConnection_CleaningDataA1I102" hidden="1">'Cleaning Data'!$A$1:$I$102</definedName>
    <definedName name="Slicer_Department">#N/A</definedName>
    <definedName name="Slicer_Performance_Rating__1_5">#N/A</definedName>
  </definedNames>
  <calcPr calcId="179021"/>
  <pivotCaches>
    <pivotCache cacheId="0" r:id="rId8"/>
    <pivotCache cacheId="1" r:id="rId9"/>
    <pivotCache cacheId="2" r:id="rId10"/>
    <pivotCache cacheId="3" r:id="rId11"/>
    <pivotCache cacheId="4" r:id="rId12"/>
    <pivotCache cacheId="5" r:id="rId13"/>
  </pivotCaches>
  <extLst>
    <ext xmlns:x14="http://schemas.microsoft.com/office/spreadsheetml/2009/9/main" uri="{876F7934-8845-4945-9796-88D515C7AA90}">
      <x14:pivotCaches>
        <pivotCache cacheId="6" r:id="rId14"/>
      </x14:pivotCaches>
    </ex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17"/>
        <pivotCache cacheId="8" r:id="rId18"/>
      </x15:pivotCaches>
    </ext>
    <ext xmlns:x15="http://schemas.microsoft.com/office/spreadsheetml/2010/11/main" uri="{983426D0-5260-488c-9760-48F4B6AC55F4}">
      <x15:pivotTableReferences>
        <x15:pivotTableReference r:id="rId19"/>
        <x15:pivotTableReference r:id="rId20"/>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1" name="Range 1" connection="WorksheetConnection_Cleaning Data!$A$1:$I$102"/>
          <x15:modelTable id="Range" name="Range" connection="WorksheetConnection_Cleaning Data!$A$1:$I$101"/>
        </x15:modelTables>
      </x15:dataModel>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I3" i="2" l="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198090F-BE87-4CA8-8235-C0B68AB73B8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B25AB1E-914D-436E-9F0D-179B28C06731}" name="WorksheetConnection_Cleaning Data!$A$1:$I$101" type="102" refreshedVersion="8" minRefreshableVersion="5">
    <extLst>
      <ext xmlns:x15="http://schemas.microsoft.com/office/spreadsheetml/2010/11/main" uri="{DE250136-89BD-433C-8126-D09CA5730AF9}">
        <x15:connection id="Range" autoDelete="1">
          <x15:rangePr sourceName="_xlcn.WorksheetConnection_CleaningDataA1I101"/>
        </x15:connection>
      </ext>
    </extLst>
  </connection>
  <connection id="3" xr16:uid="{106107D9-AD1C-4422-95F8-4D97A4E2EBC1}" name="WorksheetConnection_Cleaning Data!$A$1:$I$102" type="102" refreshedVersion="8" minRefreshableVersion="5">
    <extLst>
      <ext xmlns:x15="http://schemas.microsoft.com/office/spreadsheetml/2010/11/main" uri="{DE250136-89BD-433C-8126-D09CA5730AF9}">
        <x15:connection id="Range 1" autoDelete="1">
          <x15:rangePr sourceName="_xlcn.WorksheetConnection_CleaningDataA1I102"/>
        </x15:connection>
      </ext>
    </extLst>
  </connection>
</connections>
</file>

<file path=xl/sharedStrings.xml><?xml version="1.0" encoding="utf-8"?>
<sst xmlns="http://schemas.openxmlformats.org/spreadsheetml/2006/main" count="777" uniqueCount="145">
  <si>
    <t>Employee_ID</t>
  </si>
  <si>
    <t>Department</t>
  </si>
  <si>
    <t>Job_Level</t>
  </si>
  <si>
    <t>YOE (Years)</t>
  </si>
  <si>
    <t>Performance_Rating (1-5)</t>
  </si>
  <si>
    <t>Annual_Salary_USD</t>
  </si>
  <si>
    <t>Bonus_Percentage</t>
  </si>
  <si>
    <t>EMP001</t>
  </si>
  <si>
    <t>Sales</t>
  </si>
  <si>
    <t>Junior</t>
  </si>
  <si>
    <t>EMP002</t>
  </si>
  <si>
    <t>Engineering</t>
  </si>
  <si>
    <t>Mid</t>
  </si>
  <si>
    <t>EMP003</t>
  </si>
  <si>
    <t>Marketing</t>
  </si>
  <si>
    <t>Senior</t>
  </si>
  <si>
    <t>EMP004</t>
  </si>
  <si>
    <t>HR</t>
  </si>
  <si>
    <t>EMP005</t>
  </si>
  <si>
    <t>EMP006</t>
  </si>
  <si>
    <t>Finance</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</si>
  <si>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</si>
  <si>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</si>
  <si>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</si>
  <si>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</si>
  <si>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</si>
  <si>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</si>
  <si>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</si>
  <si>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</si>
  <si>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</si>
  <si>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</si>
  <si>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</si>
  <si>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</si>
  <si>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</si>
  <si>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</si>
  <si>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</si>
  <si>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</si>
  <si>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</si>
  <si>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</si>
  <si>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</si>
  <si>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</si>
  <si>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</si>
  <si>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</si>
  <si>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</si>
  <si>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</si>
  <si>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</si>
  <si>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</si>
  <si>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</si>
  <si>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</si>
  <si>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</si>
  <si>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</si>
  <si>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</si>
  <si>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</si>
  <si>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</si>
  <si>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</si>
  <si>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</si>
  <si>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</si>
  <si>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</si>
  <si>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</si>
  <si>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</si>
  <si>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</si>
  <si>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</si>
  <si>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</si>
  <si>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</si>
  <si>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</si>
  <si>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</si>
  <si>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</si>
  <si>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</si>
  <si>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</si>
  <si>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</si>
  <si>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</si>
  <si>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</si>
  <si>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</si>
  <si>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</si>
  <si>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</si>
  <si>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</si>
  <si>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</si>
  <si>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</si>
  <si>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</si>
  <si>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</si>
  <si>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</si>
  <si>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</si>
  <si>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</si>
  <si>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</si>
  <si>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</si>
  <si>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</si>
  <si>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</si>
  <si>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</si>
  <si>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</si>
  <si>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</si>
  <si>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</si>
  <si>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</si>
  <si>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</si>
  <si>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</si>
  <si>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</si>
  <si>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</si>
  <si>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</si>
  <si>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</si>
  <si>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</si>
  <si>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</si>
  <si>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</si>
  <si>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</si>
  <si>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</si>
  <si>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</si>
  <si>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</si>
  <si>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</si>
  <si>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</si>
  <si>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</si>
  <si>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</si>
  <si>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</si>
  <si>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</si>
  <si>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</si>
  <si>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</si>
  <si>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</si>
  <si>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</si>
  <si>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Bonas_Salary</t>
  </si>
  <si>
    <t>Total_Annual_Salary_USD</t>
  </si>
  <si>
    <t xml:space="preserve">  STEP 1</t>
  </si>
  <si>
    <t xml:space="preserve">     Open the 'Raw Data' sheet. Study all columns. Identify the data quality issues highlighted in yellow (nulls). Note the inconsistencies in text case, spaces, and dates.</t>
  </si>
  <si>
    <t xml:space="preserve">  STEP 3  ▶  Clean the Data  [ Raw Data → Cleaned Data]</t>
  </si>
  <si>
    <t xml:space="preserve">  STEP 4 ▶    Build the Dashboard  [Dashboard]</t>
  </si>
  <si>
    <t xml:space="preserve">     Using your Cleaned Data, build a Dashboard with: 5 KPI Summary Cards, a Revenue &amp; Profit by Category chart, a Monthly Trend chart, a Manager Performance chart, a Shipping Mode pie chart, and a Top 5 Products table.</t>
  </si>
  <si>
    <t xml:space="preserve">  STEP 5  ▶  Final Submission  [All Sheets]</t>
  </si>
  <si>
    <t xml:space="preserve">     Ensure your workbook has: Raw Data, Cleaning Tasks (ticked), Cleaned Data, and Dashboard sheets. Check all formulas work, all charts load, and the dashboard looks professional.</t>
  </si>
  <si>
    <t>Sum of Total_Annual_Salary_USD</t>
  </si>
  <si>
    <t>Average of Total_Annual_Salary_USD</t>
  </si>
  <si>
    <t>Grand Total</t>
  </si>
  <si>
    <t>Row Labels</t>
  </si>
  <si>
    <t>Sum of Annual_Salary_USD</t>
  </si>
  <si>
    <t>Sum of YOE (Years)</t>
  </si>
  <si>
    <t>Sum of Bonas_Salary</t>
  </si>
  <si>
    <t>Count of Employee_ID</t>
  </si>
  <si>
    <t>Sum of Performance_Rating (1-5)</t>
  </si>
  <si>
    <t>Sum of Bonus_Percentage</t>
  </si>
  <si>
    <t xml:space="preserve">     Apply all 6 cleaning tasks on the Raw Data. Create a new sheet ' Cleaned Data' and paste the fully cleaned data there. Add Month and Quarter columns.</t>
  </si>
  <si>
    <t>Bonus salary</t>
  </si>
  <si>
    <t xml:space="preserve">Employee Performance And Payroll Manegment System </t>
  </si>
  <si>
    <t>Raw Data</t>
  </si>
  <si>
    <t xml:space="preserve"> Data Cleaning </t>
  </si>
  <si>
    <t xml:space="preserve">Sum of Performance Rating &amp; Bonas Salary </t>
  </si>
  <si>
    <t>Sum of annual_Salary &amp; count Employee _ID</t>
  </si>
  <si>
    <t>Sum of Total_Salary &amp; Years</t>
  </si>
  <si>
    <t>DASHBOARD</t>
  </si>
  <si>
    <t>https://drive.google.com/file/d/1loJWgO9ZkudrIQjYO42IMejXMDjF3Xt7/view?usp=sharing</t>
  </si>
  <si>
    <t>Pivot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</si>
</sst>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font>
      <sz val="11"/>
      <color theme="1"/>
      <name val="Aptos Narrow"/>
      <family val="2"/>
      <scheme val="minor"/>
    </font>
    <font>
      <sz val="11"/>
      <color rgb="FF1F1F1F"/>
      <name val="Arial"/>
      <family val="2"/>
    </font>
    <font>
      <b/>
      <sz val="11"/>
      <color rgb="FF1F1F1F"/>
      <name val="Arial"/>
      <family val="2"/>
    </font>
    <font>
      <b/>
      <sz val="14"/>
      <color theme="1"/>
      <name val="Aptos Narrow"/>
      <family val="2"/>
      <scheme val="minor"/>
    </font>
    <font>
      <b/>
      <sz val="16"/>
      <color theme="1"/>
      <name val="Aptos Narrow"/>
      <family val="2"/>
      <scheme val="minor"/>
    </font>
    <font>
      <sz val="10"/>
      <color rgb="FF0F172A"/>
      <name val="Calibri"/>
      <family val="2"/>
    </font>
    <font>
      <u/>
      <sz val="11"/>
      <color theme="10"/>
      <name val="Aptos Narrow"/>
      <family val="2"/>
      <scheme val="minor"/>
    </font>
    <font>
      <u/>
      <sz val="11"/>
      <color theme="1" tint="4.9989318521683403E-2"/>
      <name val="Aptos Narrow"/>
      <family val="2"/>
      <scheme val="minor"/>
    </font>
    <font>
      <u/>
      <sz val="11"/>
      <color theme="1"/>
      <name val="Aptos Narrow"/>
      <family val="2"/>
      <scheme val="minor"/>
    </font>
    <font>
      <sz val="10"/>
      <color theme="1"/>
      <name val="Aptos Narrow"/>
      <family val="2"/>
      <scheme val="minor"/>
    </font>
    <font>
      <sz val="12"/>
      <color theme="1"/>
      <name val="Aptos Narrow"/>
      <family val="2"/>
      <scheme val="minor"/>
    </font>
    <font>
      <sz val="28"/>
      <color theme="1"/>
      <name val="Aptos Narrow"/>
      <family val="2"/>
      <scheme val="minor"/>
    </font>
    <font>
      <b/>
      <sz val="26"/>
      <color theme="1"/>
      <name val="Aptos Black"/>
      <family val="2"/>
    </font>
    <font>
      <b/>
      <sz val="11"/>
      <color theme="1" tint="4.9989318521683403E-2"/>
      <name val="Arial"/>
      <family val="2"/>
    </font>
    <font>
      <b/>
      <sz val="24"/>
      <color theme="1" tint="4.9989318521683403E-2"/>
      <name val="Aptos Narrow"/>
      <family val="2"/>
      <scheme val="minor"/>
    </font>
    <font>
      <b/>
      <sz val="18"/>
      <color rgb="FF1F1F1F"/>
      <name val="Arial"/>
      <family val="2"/>
    </font>
    <font>
      <b/>
      <sz val="18"/>
      <color theme="1"/>
      <name val="Aptos Narrow"/>
      <family val="2"/>
      <scheme val="minor"/>
    </font>
    <font>
      <b/>
      <sz val="11"/>
      <color theme="1"/>
      <name val="Aptos Narrow"/>
      <family val="2"/>
      <scheme val="minor"/>
    </font>
    <font>
      <b/>
      <sz val="12"/>
      <color theme="1"/>
      <name val="Aptos Narrow"/>
      <family val="2"/>
      <scheme val="minor"/>
    </font>
    <font>
      <b/>
      <u/>
      <sz val="11"/>
      <color theme="1"/>
      <name val="Aptos Narrow"/>
      <family val="2"/>
      <scheme val="minor"/>
    </font>
    <font>
      <sz val="18"/>
      <color theme="1"/>
      <name val="ADLaM Display"/>
    </font>
    <font>
      <b/>
      <u/>
      <sz val="14"/>
      <color theme="1"/>
      <name val="Aptos Narrow"/>
      <family val="2"/>
      <scheme val="minor"/>
    </font>
    <font>
      <sz val="11"/>
      <color rgb="FF000000"/>
      <name val="Aptos Narrow"/>
    </font>
  </fonts>
  <fills count="18">
    <fill>
      <patternFill patternType="none"/>
    </fill>
    <fill>
      <patternFill patternType="gray125"/>
    </fill>
    <fill>
      <patternFill patternType="solid">
        <fgColor theme="7" tint="0.59999389629810485"/>
        <bgColor indexed="64"/>
      </patternFill>
    </fill>
    <fill>
      <patternFill patternType="solid">
        <fgColor rgb="FF0D9488"/>
      </patternFill>
    </fill>
    <fill>
      <patternFill patternType="solid">
        <fgColor rgb="FFF1F5F9"/>
      </patternFill>
    </fill>
    <fill>
      <patternFill patternType="solid">
        <fgColor rgb="FF2563EB"/>
      </patternFill>
    </fill>
    <fill>
      <patternFill patternType="solid">
        <fgColor rgb="FFFFFFFF"/>
      </patternFill>
    </fill>
    <fill>
      <patternFill patternType="solid">
        <fgColor theme="6" tint="0.59999389629810485"/>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0AF67A"/>
        <bgColor indexed="64"/>
      </patternFill>
    </fill>
    <fill>
      <patternFill patternType="solid">
        <fgColor theme="6" tint="0.79998168889431442"/>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0"/>
        <bgColor indexed="64"/>
      </patternFill>
    </fill>
  </fills>
  <borders count="44">
    <border>
      <left/>
      <right/>
      <top/>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style="medium">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style="medium">
        <color indexed="64"/>
      </right>
      <top style="medium">
        <color rgb="FF000000"/>
      </top>
      <bottom style="medium">
        <color rgb="FF000000"/>
      </bottom>
      <diagonal/>
    </border>
    <border>
      <left style="medium">
        <color indexed="64"/>
      </left>
      <right style="medium">
        <color indexed="64"/>
      </right>
      <top style="medium">
        <color rgb="FF000000"/>
      </top>
      <bottom style="medium">
        <color indexed="64"/>
      </bottom>
      <diagonal/>
    </border>
  </borders>
  <cellStyleXfs count="2">
    <xf numFmtId="0" fontId="0" fillId="0" borderId="0"/>
    <xf numFmtId="0" fontId="6" fillId="0" borderId="0" applyNumberFormat="0" applyFill="0" applyBorder="0" applyAlignment="0" applyProtection="0"/>
  </cellStyleXfs>
  <cellXfs count="131">
    <xf numFmtId="0" fontId="0" fillId="0" borderId="0" xfId="0"/>
    <xf numFmtId="0" fontId="2" fillId="0" borderId="1" xfId="0" applyFont="1" applyBorder="1" applyAlignment="1">
      <alignment horizontal="left" vertical="center" wrapText="1" indent="1" readingOrder="1"/>
    </xf>
    <xf numFmtId="0" fontId="1" fillId="0" borderId="1" xfId="0" applyFont="1" applyBorder="1" applyAlignment="1">
      <alignment horizontal="left" vertical="center" wrapText="1" indent="1" readingOrder="1"/>
    </xf>
    <xf numFmtId="3" fontId="0" fillId="0" borderId="0" xfId="0" applyNumberFormat="1"/>
    <xf numFmtId="0" fontId="0" fillId="0" borderId="2" xfId="0" applyBorder="1"/>
    <xf numFmtId="3" fontId="1" fillId="0" borderId="3" xfId="0" applyNumberFormat="1" applyFont="1" applyBorder="1" applyAlignment="1">
      <alignment horizontal="left" vertical="center" wrapText="1" indent="1" readingOrder="1"/>
    </xf>
    <xf numFmtId="9" fontId="1" fillId="0" borderId="6" xfId="0" applyNumberFormat="1" applyFont="1" applyBorder="1" applyAlignment="1">
      <alignment vertical="center" wrapText="1" readingOrder="1"/>
    </xf>
    <xf numFmtId="9" fontId="1" fillId="0" borderId="7" xfId="0" applyNumberFormat="1" applyFont="1" applyBorder="1" applyAlignment="1">
      <alignment vertical="center" wrapText="1" readingOrder="1"/>
    </xf>
    <xf numFmtId="0" fontId="0" fillId="0" borderId="17" xfId="0" pivotButton="1" applyBorder="1"/>
    <xf numFmtId="0" fontId="0" fillId="0" borderId="19" xfId="0" applyBorder="1" applyAlignment="1">
      <alignment horizontal="center"/>
    </xf>
    <xf numFmtId="0" fontId="0" fillId="0" borderId="24" xfId="0" applyBorder="1" applyAlignment="1">
      <alignment horizontal="center"/>
    </xf>
    <xf numFmtId="0" fontId="0" fillId="0" borderId="10" xfId="0" applyBorder="1" applyAlignment="1">
      <alignment horizontal="center"/>
    </xf>
    <xf numFmtId="0" fontId="0" fillId="0" borderId="23" xfId="0" applyBorder="1" applyAlignment="1">
      <alignment horizontal="center"/>
    </xf>
    <xf numFmtId="0" fontId="0" fillId="0" borderId="22" xfId="0" pivotButton="1" applyBorder="1" applyAlignment="1">
      <alignment horizontal="center"/>
    </xf>
    <xf numFmtId="0" fontId="0" fillId="0" borderId="2" xfId="0" applyBorder="1" applyAlignment="1">
      <alignment horizontal="left"/>
    </xf>
    <xf numFmtId="0" fontId="0" fillId="0" borderId="2" xfId="0" applyBorder="1" applyAlignment="1">
      <alignment horizontal="center"/>
    </xf>
    <xf numFmtId="0" fontId="0" fillId="0" borderId="2" xfId="0" pivotButton="1" applyBorder="1"/>
    <xf numFmtId="0" fontId="9" fillId="0" borderId="2" xfId="0" pivotButton="1" applyFont="1" applyBorder="1" applyAlignment="1">
      <alignment horizontal="center"/>
    </xf>
    <xf numFmtId="0" fontId="0" fillId="0" borderId="25" xfId="0" pivotButton="1" applyBorder="1"/>
    <xf numFmtId="0" fontId="0" fillId="0" borderId="26" xfId="0" applyBorder="1" applyAlignment="1">
      <alignment horizontal="center"/>
    </xf>
    <xf numFmtId="0" fontId="0" fillId="0" borderId="27" xfId="0" applyBorder="1" applyAlignment="1">
      <alignment horizontal="left"/>
    </xf>
    <xf numFmtId="0" fontId="0" fillId="0" borderId="28" xfId="0" applyBorder="1" applyAlignment="1">
      <alignment horizontal="center"/>
    </xf>
    <xf numFmtId="0" fontId="0" fillId="0" borderId="27" xfId="0" applyBorder="1" applyAlignment="1">
      <alignment horizontal="left" indent="1"/>
    </xf>
    <xf numFmtId="0" fontId="0" fillId="0" borderId="29" xfId="0" applyBorder="1" applyAlignment="1">
      <alignment horizontal="left"/>
    </xf>
    <xf numFmtId="0" fontId="0" fillId="0" borderId="30" xfId="0" applyBorder="1" applyAlignment="1">
      <alignment horizontal="center"/>
    </xf>
    <xf numFmtId="0" fontId="0" fillId="0" borderId="25" xfId="0" applyBorder="1" applyAlignment="1">
      <alignment horizontal="left" indent="1"/>
    </xf>
    <xf numFmtId="0" fontId="0" fillId="0" borderId="29" xfId="0" applyBorder="1" applyAlignment="1">
      <alignment horizontal="left" indent="1"/>
    </xf>
    <xf numFmtId="0" fontId="0" fillId="0" borderId="18" xfId="0" applyBorder="1"/>
    <xf numFmtId="0" fontId="0" fillId="0" borderId="19" xfId="0" applyBorder="1"/>
    <xf numFmtId="0" fontId="0" fillId="0" borderId="20" xfId="0" applyBorder="1"/>
    <xf numFmtId="0" fontId="0" fillId="0" borderId="21" xfId="0" applyBorder="1"/>
    <xf numFmtId="0" fontId="0" fillId="0" borderId="14" xfId="0" applyBorder="1"/>
    <xf numFmtId="0" fontId="0" fillId="0" borderId="18" xfId="0" pivotButton="1" applyBorder="1"/>
    <xf numFmtId="0" fontId="0" fillId="0" borderId="20" xfId="0" pivotButton="1" applyBorder="1"/>
    <xf numFmtId="3" fontId="0" fillId="0" borderId="21" xfId="0" applyNumberFormat="1" applyBorder="1"/>
    <xf numFmtId="3" fontId="0" fillId="0" borderId="15" xfId="0" applyNumberFormat="1" applyBorder="1"/>
    <xf numFmtId="3" fontId="0" fillId="0" borderId="16" xfId="0" applyNumberFormat="1" applyBorder="1"/>
    <xf numFmtId="0" fontId="0" fillId="0" borderId="23" xfId="0" pivotButton="1" applyBorder="1" applyAlignment="1">
      <alignment horizontal="center"/>
    </xf>
    <xf numFmtId="0" fontId="0" fillId="0" borderId="2" xfId="0" applyBorder="1" applyAlignment="1">
      <alignment horizontal="left" indent="1"/>
    </xf>
    <xf numFmtId="0" fontId="10" fillId="0" borderId="0" xfId="0" applyFont="1"/>
    <xf numFmtId="0" fontId="0" fillId="0" borderId="0" xfId="0" applyAlignment="1">
      <alignment vertical="top"/>
    </xf>
    <xf numFmtId="0" fontId="2" fillId="8" borderId="1" xfId="0" applyFont="1" applyFill="1" applyBorder="1" applyAlignment="1">
      <alignment horizontal="left" vertical="center" wrapText="1" indent="1" readingOrder="1"/>
    </xf>
    <xf numFmtId="0" fontId="2" fillId="8" borderId="3" xfId="0" applyFont="1" applyFill="1" applyBorder="1" applyAlignment="1">
      <alignment horizontal="left" vertical="center" wrapText="1" indent="1" readingOrder="1"/>
    </xf>
    <xf numFmtId="0" fontId="2" fillId="8" borderId="5" xfId="0" applyFont="1" applyFill="1" applyBorder="1" applyAlignment="1">
      <alignment vertical="center" wrapText="1" readingOrder="1"/>
    </xf>
    <xf numFmtId="0" fontId="4" fillId="8" borderId="4" xfId="0" applyFont="1" applyFill="1" applyBorder="1" applyAlignment="1">
      <alignment horizontal="center" vertical="center"/>
    </xf>
    <xf numFmtId="0" fontId="3" fillId="8" borderId="4" xfId="0" applyFont="1" applyFill="1" applyBorder="1"/>
    <xf numFmtId="0" fontId="1" fillId="0" borderId="0" xfId="0" applyFont="1" applyAlignment="1">
      <alignment horizontal="left" vertical="center" wrapText="1" indent="1" readingOrder="1"/>
    </xf>
    <xf numFmtId="3" fontId="1" fillId="0" borderId="0" xfId="0" applyNumberFormat="1" applyFont="1" applyAlignment="1">
      <alignment horizontal="left" vertical="center" wrapText="1" indent="1" readingOrder="1"/>
    </xf>
    <xf numFmtId="9" fontId="1" fillId="0" borderId="0" xfId="0" applyNumberFormat="1" applyFont="1" applyAlignment="1">
      <alignment vertical="center" wrapText="1" readingOrder="1"/>
    </xf>
    <xf numFmtId="0" fontId="1" fillId="0" borderId="37" xfId="0" applyFont="1" applyBorder="1" applyAlignment="1">
      <alignment horizontal="left" vertical="center" wrapText="1" indent="1" readingOrder="1"/>
    </xf>
    <xf numFmtId="3" fontId="1" fillId="0" borderId="37" xfId="0" applyNumberFormat="1" applyFont="1" applyBorder="1" applyAlignment="1">
      <alignment horizontal="left" vertical="center" wrapText="1" indent="1" readingOrder="1"/>
    </xf>
    <xf numFmtId="9" fontId="1" fillId="0" borderId="37" xfId="0" applyNumberFormat="1" applyFont="1" applyBorder="1" applyAlignment="1">
      <alignment vertical="center" wrapText="1" readingOrder="1"/>
    </xf>
    <xf numFmtId="0" fontId="13" fillId="0" borderId="1" xfId="0" applyFont="1" applyBorder="1" applyAlignment="1">
      <alignment horizontal="left" vertical="center" wrapText="1" indent="1" readingOrder="1"/>
    </xf>
    <xf numFmtId="3" fontId="13" fillId="0" borderId="1" xfId="0" applyNumberFormat="1" applyFont="1" applyBorder="1" applyAlignment="1">
      <alignment horizontal="left" vertical="center" wrapText="1" indent="1" readingOrder="1"/>
    </xf>
    <xf numFmtId="9" fontId="13" fillId="0" borderId="3" xfId="0" applyNumberFormat="1" applyFont="1" applyBorder="1" applyAlignment="1">
      <alignment vertical="center" wrapText="1" readingOrder="1"/>
    </xf>
    <xf numFmtId="0" fontId="13" fillId="0" borderId="35" xfId="0" applyFont="1" applyBorder="1" applyAlignment="1">
      <alignment horizontal="left" vertical="center" wrapText="1" indent="1" readingOrder="1"/>
    </xf>
    <xf numFmtId="3" fontId="13" fillId="0" borderId="35" xfId="0" applyNumberFormat="1" applyFont="1" applyBorder="1" applyAlignment="1">
      <alignment horizontal="left" vertical="center" wrapText="1" indent="1" readingOrder="1"/>
    </xf>
    <xf numFmtId="9" fontId="13" fillId="0" borderId="36" xfId="0" applyNumberFormat="1" applyFont="1" applyBorder="1" applyAlignment="1">
      <alignment vertical="center" wrapText="1" readingOrder="1"/>
    </xf>
    <xf numFmtId="0" fontId="2" fillId="2" borderId="1" xfId="0" applyFont="1" applyFill="1" applyBorder="1" applyAlignment="1">
      <alignment horizontal="left" vertical="center" wrapText="1" indent="1" readingOrder="1"/>
    </xf>
    <xf numFmtId="0" fontId="14" fillId="2" borderId="38" xfId="0" applyFont="1" applyFill="1" applyBorder="1" applyAlignment="1">
      <alignment vertical="center"/>
    </xf>
    <xf numFmtId="0" fontId="15" fillId="2" borderId="1" xfId="0" applyFont="1" applyFill="1" applyBorder="1" applyAlignment="1">
      <alignment horizontal="left" vertical="center" wrapText="1" indent="1" readingOrder="1"/>
    </xf>
    <xf numFmtId="0" fontId="15" fillId="2" borderId="3" xfId="0" applyFont="1" applyFill="1" applyBorder="1" applyAlignment="1">
      <alignment vertical="center" wrapText="1" readingOrder="1"/>
    </xf>
    <xf numFmtId="0" fontId="16" fillId="2" borderId="11" xfId="0" applyFont="1" applyFill="1" applyBorder="1" applyAlignment="1">
      <alignment vertical="center"/>
    </xf>
    <xf numFmtId="3" fontId="0" fillId="9" borderId="40" xfId="0" applyNumberFormat="1" applyFill="1" applyBorder="1"/>
    <xf numFmtId="0" fontId="0" fillId="9" borderId="39" xfId="0" applyFill="1" applyBorder="1"/>
    <xf numFmtId="0" fontId="0" fillId="0" borderId="0" xfId="0" applyAlignment="1">
      <alignment horizontal="center"/>
    </xf>
    <xf numFmtId="0" fontId="17" fillId="0" borderId="0" xfId="0" applyFont="1"/>
    <xf numFmtId="0" fontId="0" fillId="0" borderId="0" xfId="0" applyBorder="1"/>
    <xf numFmtId="0" fontId="0" fillId="12" borderId="0" xfId="0" applyFill="1"/>
    <xf numFmtId="0" fontId="0" fillId="0" borderId="0" xfId="0" applyAlignment="1">
      <alignment vertical="center"/>
    </xf>
    <xf numFmtId="0" fontId="19" fillId="16" borderId="4" xfId="1" applyFont="1" applyFill="1" applyBorder="1" applyAlignment="1">
      <alignment horizontal="center" vertical="center"/>
    </xf>
    <xf numFmtId="0" fontId="19" fillId="15" borderId="4" xfId="1" applyFont="1" applyFill="1" applyBorder="1" applyAlignment="1">
      <alignment horizontal="center" vertical="center"/>
    </xf>
    <xf numFmtId="0" fontId="19" fillId="14" borderId="4" xfId="1" applyFont="1" applyFill="1" applyBorder="1" applyAlignment="1">
      <alignment horizontal="center" vertical="center"/>
    </xf>
    <xf numFmtId="0" fontId="19" fillId="13" borderId="0" xfId="1" applyFont="1" applyFill="1"/>
    <xf numFmtId="0" fontId="4" fillId="0" borderId="0" xfId="0" applyFont="1" applyBorder="1" applyAlignment="1">
      <alignment horizontal="center" vertical="center"/>
    </xf>
    <xf numFmtId="0" fontId="3" fillId="0" borderId="0" xfId="0" applyFont="1" applyBorder="1"/>
    <xf numFmtId="3" fontId="0" fillId="0" borderId="0" xfId="0" applyNumberFormat="1" applyBorder="1"/>
    <xf numFmtId="0" fontId="2" fillId="0" borderId="3" xfId="0" applyFont="1" applyBorder="1" applyAlignment="1">
      <alignment horizontal="left" vertical="center" wrapText="1" indent="1" readingOrder="1"/>
    </xf>
    <xf numFmtId="0" fontId="2" fillId="0" borderId="41" xfId="0" applyFont="1" applyBorder="1" applyAlignment="1">
      <alignment vertical="center" wrapText="1" readingOrder="1"/>
    </xf>
    <xf numFmtId="9" fontId="1" fillId="0" borderId="42" xfId="0" applyNumberFormat="1" applyFont="1" applyBorder="1" applyAlignment="1">
      <alignment vertical="center" wrapText="1" readingOrder="1"/>
    </xf>
    <xf numFmtId="9" fontId="1" fillId="0" borderId="43" xfId="0" applyNumberFormat="1" applyFont="1" applyBorder="1" applyAlignment="1">
      <alignment vertical="center" wrapText="1" readingOrder="1"/>
    </xf>
    <xf numFmtId="0" fontId="0" fillId="17" borderId="10" xfId="0" applyFill="1" applyBorder="1"/>
    <xf numFmtId="3" fontId="0" fillId="17" borderId="9" xfId="0" applyNumberFormat="1" applyFill="1" applyBorder="1"/>
    <xf numFmtId="0" fontId="0" fillId="0" borderId="0" xfId="0" applyNumberFormat="1"/>
    <xf numFmtId="0" fontId="0" fillId="0" borderId="0" xfId="0" pivotButton="1"/>
    <xf numFmtId="0" fontId="0" fillId="0" borderId="0" xfId="0" applyAlignment="1">
      <alignment horizontal="left"/>
    </xf>
    <xf numFmtId="0" fontId="5" fillId="6" borderId="11" xfId="0" applyFont="1" applyFill="1" applyBorder="1" applyAlignment="1">
      <alignment horizontal="left" vertical="center" wrapText="1"/>
    </xf>
    <xf numFmtId="0" fontId="0" fillId="0" borderId="12" xfId="0" applyBorder="1"/>
    <xf numFmtId="0" fontId="0" fillId="0" borderId="13" xfId="0" applyBorder="1"/>
    <xf numFmtId="0" fontId="6" fillId="3" borderId="11" xfId="1" applyFill="1" applyBorder="1" applyAlignment="1">
      <alignment horizontal="left" vertical="center"/>
    </xf>
    <xf numFmtId="0" fontId="6" fillId="0" borderId="12" xfId="1" applyBorder="1"/>
    <xf numFmtId="0" fontId="6" fillId="0" borderId="13" xfId="1" applyBorder="1"/>
    <xf numFmtId="0" fontId="5" fillId="4" borderId="11" xfId="0" applyFont="1" applyFill="1" applyBorder="1" applyAlignment="1">
      <alignment horizontal="left" vertical="center" wrapText="1"/>
    </xf>
    <xf numFmtId="0" fontId="20" fillId="2" borderId="17" xfId="0" applyFont="1" applyFill="1" applyBorder="1" applyAlignment="1">
      <alignment horizontal="right" vertical="center"/>
    </xf>
    <xf numFmtId="0" fontId="20" fillId="2" borderId="18" xfId="0" applyFont="1" applyFill="1" applyBorder="1" applyAlignment="1">
      <alignment horizontal="right" vertical="center"/>
    </xf>
    <xf numFmtId="0" fontId="20" fillId="2" borderId="19" xfId="0" applyFont="1" applyFill="1" applyBorder="1" applyAlignment="1">
      <alignment horizontal="right" vertical="center"/>
    </xf>
    <xf numFmtId="0" fontId="20" fillId="2" borderId="20" xfId="0" applyFont="1" applyFill="1" applyBorder="1" applyAlignment="1">
      <alignment horizontal="right" vertical="center"/>
    </xf>
    <xf numFmtId="0" fontId="20" fillId="2" borderId="0" xfId="0" applyFont="1" applyFill="1" applyAlignment="1">
      <alignment horizontal="right" vertical="center"/>
    </xf>
    <xf numFmtId="0" fontId="20" fillId="2" borderId="21" xfId="0" applyFont="1" applyFill="1" applyBorder="1" applyAlignment="1">
      <alignment horizontal="right" vertical="center"/>
    </xf>
    <xf numFmtId="0" fontId="20" fillId="2" borderId="14" xfId="0" applyFont="1" applyFill="1" applyBorder="1" applyAlignment="1">
      <alignment horizontal="right" vertical="center"/>
    </xf>
    <xf numFmtId="0" fontId="20" fillId="2" borderId="15" xfId="0" applyFont="1" applyFill="1" applyBorder="1" applyAlignment="1">
      <alignment horizontal="right" vertical="center"/>
    </xf>
    <xf numFmtId="0" fontId="20" fillId="2" borderId="16" xfId="0" applyFont="1" applyFill="1" applyBorder="1" applyAlignment="1">
      <alignment horizontal="right" vertical="center"/>
    </xf>
    <xf numFmtId="0" fontId="8" fillId="5" borderId="11" xfId="1" applyFont="1" applyFill="1" applyBorder="1" applyAlignment="1">
      <alignment horizontal="left" vertical="center"/>
    </xf>
    <xf numFmtId="0" fontId="8" fillId="0" borderId="12" xfId="1" applyFont="1" applyBorder="1"/>
    <xf numFmtId="0" fontId="8" fillId="0" borderId="13" xfId="1" applyFont="1" applyBorder="1"/>
    <xf numFmtId="0" fontId="7" fillId="3" borderId="11" xfId="1" applyFont="1" applyFill="1" applyBorder="1" applyAlignment="1">
      <alignment horizontal="left" vertical="center"/>
    </xf>
    <xf numFmtId="0" fontId="7" fillId="0" borderId="12" xfId="1" applyFont="1" applyBorder="1"/>
    <xf numFmtId="0" fontId="7" fillId="0" borderId="13" xfId="1" applyFont="1" applyBorder="1"/>
    <xf numFmtId="0" fontId="18" fillId="15" borderId="11" xfId="0" applyFont="1" applyFill="1" applyBorder="1" applyAlignment="1">
      <alignment horizontal="center" vertical="center"/>
    </xf>
    <xf numFmtId="0" fontId="18" fillId="15" borderId="13" xfId="0" applyFont="1" applyFill="1" applyBorder="1" applyAlignment="1">
      <alignment horizontal="center" vertical="center"/>
    </xf>
    <xf numFmtId="0" fontId="3" fillId="15" borderId="11" xfId="0" applyFont="1" applyFill="1" applyBorder="1" applyAlignment="1">
      <alignment horizontal="center" vertical="center"/>
    </xf>
    <xf numFmtId="0" fontId="3" fillId="15" borderId="13" xfId="0" applyFont="1" applyFill="1" applyBorder="1" applyAlignment="1">
      <alignment horizontal="center" vertical="center"/>
    </xf>
    <xf numFmtId="0" fontId="11" fillId="11" borderId="31" xfId="0" applyFont="1" applyFill="1" applyBorder="1" applyAlignment="1">
      <alignment horizontal="center" vertical="top"/>
    </xf>
    <xf numFmtId="0" fontId="11" fillId="11" borderId="32" xfId="0" applyFont="1" applyFill="1" applyBorder="1" applyAlignment="1">
      <alignment horizontal="center" vertical="top"/>
    </xf>
    <xf numFmtId="0" fontId="11" fillId="11" borderId="33" xfId="0" applyFont="1" applyFill="1" applyBorder="1" applyAlignment="1">
      <alignment horizontal="center" vertical="top"/>
    </xf>
    <xf numFmtId="0" fontId="11" fillId="11" borderId="2" xfId="0" applyFont="1" applyFill="1" applyBorder="1" applyAlignment="1">
      <alignment horizontal="center" vertical="top"/>
    </xf>
    <xf numFmtId="0" fontId="11" fillId="11" borderId="34" xfId="0" applyFont="1" applyFill="1" applyBorder="1" applyAlignment="1">
      <alignment horizontal="center" vertical="top"/>
    </xf>
    <xf numFmtId="0" fontId="11" fillId="11" borderId="8" xfId="0" applyFont="1" applyFill="1" applyBorder="1" applyAlignment="1">
      <alignment horizontal="center" vertical="top"/>
    </xf>
    <xf numFmtId="0" fontId="12" fillId="7" borderId="17" xfId="0" applyFont="1" applyFill="1" applyBorder="1" applyAlignment="1">
      <alignment horizontal="center" vertical="center"/>
    </xf>
    <xf numFmtId="0" fontId="12" fillId="7" borderId="18" xfId="0" applyFont="1" applyFill="1" applyBorder="1" applyAlignment="1">
      <alignment horizontal="center" vertical="center"/>
    </xf>
    <xf numFmtId="0" fontId="12" fillId="7" borderId="20" xfId="0" applyFont="1" applyFill="1" applyBorder="1" applyAlignment="1">
      <alignment horizontal="center" vertical="center"/>
    </xf>
    <xf numFmtId="0" fontId="12" fillId="7" borderId="0" xfId="0" applyFont="1" applyFill="1" applyAlignment="1">
      <alignment horizontal="center" vertical="center"/>
    </xf>
    <xf numFmtId="0" fontId="21" fillId="10" borderId="17" xfId="1" applyFont="1" applyFill="1" applyBorder="1" applyAlignment="1">
      <alignment horizontal="center" vertical="center"/>
    </xf>
    <xf numFmtId="0" fontId="3" fillId="10" borderId="18" xfId="0" applyFont="1" applyFill="1" applyBorder="1" applyAlignment="1">
      <alignment horizontal="center" vertical="center"/>
    </xf>
    <xf numFmtId="0" fontId="3" fillId="10" borderId="19" xfId="0" applyFont="1" applyFill="1" applyBorder="1" applyAlignment="1">
      <alignment horizontal="center" vertical="center"/>
    </xf>
    <xf numFmtId="0" fontId="3" fillId="10" borderId="20" xfId="0" applyFont="1" applyFill="1" applyBorder="1" applyAlignment="1">
      <alignment horizontal="center" vertical="center"/>
    </xf>
    <xf numFmtId="0" fontId="3" fillId="10" borderId="0" xfId="0" applyFont="1" applyFill="1" applyBorder="1" applyAlignment="1">
      <alignment horizontal="center" vertical="center"/>
    </xf>
    <xf numFmtId="0" fontId="3" fillId="10" borderId="21" xfId="0" applyFont="1" applyFill="1" applyBorder="1" applyAlignment="1">
      <alignment horizontal="center" vertical="center"/>
    </xf>
    <xf numFmtId="0" fontId="3" fillId="10" borderId="14" xfId="0" applyFont="1" applyFill="1" applyBorder="1" applyAlignment="1">
      <alignment horizontal="center" vertical="center"/>
    </xf>
    <xf numFmtId="0" fontId="3" fillId="10" borderId="15" xfId="0" applyFont="1" applyFill="1" applyBorder="1" applyAlignment="1">
      <alignment horizontal="center" vertical="center"/>
    </xf>
    <xf numFmtId="0" fontId="3" fillId="10" borderId="16" xfId="0" applyFont="1" applyFill="1" applyBorder="1" applyAlignment="1">
      <alignment horizontal="center" vertical="center"/>
    </xf>
  </cellXfs>
  <cellStyles count="2">
    <cellStyle name="Hyperlink" xfId="1" builtinId="8"/>
    <cellStyle name="Normal" xfId="0" builtinId="0"/>
  </cellStyles>
  <dxfs count="88">
    <dxf>
      <border>
        <top style="thin">
          <color indexed="64"/>
        </top>
        <vertical style="thin">
          <color indexed="64"/>
        </vertical>
        <horizontal style="thin">
          <color indexed="64"/>
        </horizontal>
      </border>
    </dxf>
    <dxf>
      <border>
        <top style="thin">
          <color indexed="64"/>
        </top>
        <bottom style="thin">
          <color indexed="64"/>
        </bottom>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rgb="FFFFC7CE"/>
        </patternFill>
      </fill>
    </dxf>
    <dxf>
      <font>
        <color rgb="FF006100"/>
      </font>
      <fill>
        <patternFill>
          <bgColor rgb="FFC6EFCE"/>
        </patternFill>
      </fill>
    </dxf>
    <dxf>
      <border>
        <top style="thin">
          <color indexed="64"/>
        </top>
        <bottom style="thin">
          <color indexed="64"/>
        </bottom>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dxf>
    <dxf>
      <alignment horizontal="cent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rgb="FF006100"/>
      </font>
      <fill>
        <patternFill>
          <bgColor rgb="FFC6EFCE"/>
        </patternFill>
      </fill>
    </dxf>
    <dxf>
      <font>
        <color rgb="FF92D050"/>
      </font>
    </dxf>
    <dxf>
      <font>
        <color rgb="FF006100"/>
      </font>
      <fill>
        <patternFill>
          <bgColor rgb="FFC6EFCE"/>
        </patternFill>
      </fill>
    </dxf>
    <dxf>
      <font>
        <color rgb="FF9C5700"/>
      </font>
      <fill>
        <patternFill>
          <bgColor rgb="FFFFEB9C"/>
        </patternFill>
      </fill>
    </dxf>
    <dxf>
      <font>
        <color rgb="FF90FCF7"/>
      </font>
    </dxf>
    <dxf>
      <fill>
        <patternFill>
          <bgColor rgb="FFFFC7CE"/>
        </patternFill>
      </fill>
    </dxf>
    <dxf>
      <font>
        <color rgb="FF006100"/>
      </font>
      <fill>
        <patternFill>
          <bgColor rgb="FFC6EFCE"/>
        </patternFill>
      </fill>
    </dxf>
  </dxfs>
  <tableStyles count="1" defaultTableStyle="TableStyleMedium2" defaultPivotStyle="PivotStyleLight16">
    <tableStyle name="Slicer Style 1" pivot="0" table="0" count="1" xr9:uid="{FE26B3A6-08B1-4628-A2EB-8DAC2DF6F932}"/>
  </tableStyles>
  <colors>
    <mruColors>
      <color rgb="FF0AF67A"/>
      <color rgb="FF90FCF7"/>
      <color rgb="FFE696F6"/>
    </mruColors>
  </colors>
  <extLst>
    <ext xmlns:x14="http://schemas.microsoft.com/office/spreadsheetml/2009/9/main" uri="{46F421CA-312F-682f-3DD2-61675219B42D}">
      <x14:dxfs count="1">
        <dxf>
          <font>
            <b/>
            <i/>
            <u val="double"/>
            <sz val="11"/>
            <color theme="6" tint="0.59996337778862885"/>
            <name val="Aptos Narrow"/>
            <family val="2"/>
            <scheme val="minor"/>
          </font>
        </dxf>
      </x14:dxfs>
    </ext>
    <ext xmlns:x14="http://schemas.microsoft.com/office/spreadsheetml/2009/9/main" uri="{EB79DEF2-80B8-43e5-95BD-54CBDDF9020C}">
      <x14:slicerStyles defaultSlicerStyle="SlicerStyleLight1">
        <x14:slicerStyle name="Slicer Style 1">
          <x14:slicerStyleElements>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9.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8.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pivotTable" Target="pivotTables/pivotTabl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pivotTable" Target="pivotTables/pivotTabl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connections" Target="connections.xml"/><Relationship Id="rId27"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[Employee Performance and Payroll project.xlsm]Sum of salary!PivotTable9</c:name>
    <c:fmtId val="0"/>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rgbClr val="002060"/>
              </a:solidFill>
              <a:latin typeface="+mn-lt"/>
              <a:ea typeface="+mn-ea"/>
              <a:cs typeface="+mn-cs"/>
            </a:defRPr>
          </a:pPr>
          <a:endParaRPr lang="en-US"/>
        </a:p>
      </c:tx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
        <c:spPr>
          <a:solidFill>
            <a:schemeClr val="accent6">
              <a:shade val="53000"/>
            </a:schemeClr>
          </a:solidFill>
          <a:ln>
            <a:noFill/>
          </a:ln>
          <a:effectLst>
            <a:outerShdw blurRad="63500" sx="102000" sy="102000" algn="ctr" rotWithShape="0">
              <a:prstClr val="black">
                <a:alpha val="20000"/>
              </a:prstClr>
            </a:outerShdw>
          </a:effectLst>
        </c:spPr>
      </c:pivotFmt>
      <c:pivotFmt>
        <c:idx val="3"/>
        <c:spPr>
          <a:solidFill>
            <a:schemeClr val="accent6">
              <a:shade val="76000"/>
            </a:schemeClr>
          </a:solidFill>
          <a:ln>
            <a:noFill/>
          </a:ln>
          <a:effectLst>
            <a:outerShdw blurRad="63500" sx="102000" sy="102000" algn="ctr" rotWithShape="0">
              <a:prstClr val="black">
                <a:alpha val="20000"/>
              </a:prstClr>
            </a:outerShdw>
          </a:effectLst>
        </c:spPr>
      </c:pivotFmt>
      <c:pivotFmt>
        <c:idx val="4"/>
        <c:spPr>
          <a:solidFill>
            <a:schemeClr val="accent6"/>
          </a:solidFill>
          <a:ln>
            <a:noFill/>
          </a:ln>
          <a:effectLst>
            <a:outerShdw blurRad="63500" sx="102000" sy="102000" algn="ctr" rotWithShape="0">
              <a:prstClr val="black">
                <a:alpha val="20000"/>
              </a:prstClr>
            </a:outerShdw>
          </a:effectLst>
        </c:spPr>
      </c:pivotFmt>
      <c:pivotFmt>
        <c:idx val="5"/>
        <c:spPr>
          <a:solidFill>
            <a:schemeClr val="accent6">
              <a:tint val="77000"/>
            </a:schemeClr>
          </a:solidFill>
          <a:ln>
            <a:noFill/>
          </a:ln>
          <a:effectLst>
            <a:outerShdw blurRad="63500" sx="102000" sy="102000" algn="ctr" rotWithShape="0">
              <a:prstClr val="black">
                <a:alpha val="20000"/>
              </a:prstClr>
            </a:outerShdw>
          </a:effectLst>
        </c:spPr>
      </c:pivotFmt>
      <c:pivotFmt>
        <c:idx val="6"/>
        <c:spPr>
          <a:solidFill>
            <a:schemeClr val="accent6">
              <a:tint val="54000"/>
            </a:schemeClr>
          </a:solidFill>
          <a:ln>
            <a:noFill/>
          </a:ln>
          <a:effectLst>
            <a:outerShdw blurRad="63500" sx="102000" sy="102000" algn="ctr" rotWithShape="0">
              <a:prstClr val="black">
                <a:alpha val="20000"/>
              </a:prstClr>
            </a:outerShdw>
          </a:effectLst>
        </c:spPr>
      </c:pivotFmt>
      <c:pivotFmt>
        <c:idx val="7"/>
        <c:spPr>
          <a:solidFill>
            <a:schemeClr val="accent6">
              <a:shade val="53000"/>
            </a:schemeClr>
          </a:solidFill>
          <a:ln>
            <a:noFill/>
          </a:ln>
          <a:effectLst>
            <a:outerShdw blurRad="63500" sx="102000" sy="102000" algn="ctr" rotWithShape="0">
              <a:prstClr val="black">
                <a:alpha val="20000"/>
              </a:prstClr>
            </a:outerShdw>
          </a:effectLst>
        </c:spPr>
      </c:pivotFmt>
      <c:pivotFmt>
        <c:idx val="8"/>
        <c:spPr>
          <a:solidFill>
            <a:schemeClr val="accent6">
              <a:shade val="76000"/>
            </a:schemeClr>
          </a:solidFill>
          <a:ln>
            <a:noFill/>
          </a:ln>
          <a:effectLst>
            <a:outerShdw blurRad="63500" sx="102000" sy="102000" algn="ctr" rotWithShape="0">
              <a:prstClr val="black">
                <a:alpha val="20000"/>
              </a:prstClr>
            </a:outerShdw>
          </a:effectLst>
        </c:spPr>
      </c:pivotFmt>
      <c:pivotFmt>
        <c:idx val="9"/>
        <c:spPr>
          <a:solidFill>
            <a:schemeClr val="accent6"/>
          </a:solidFill>
          <a:ln>
            <a:noFill/>
          </a:ln>
          <a:effectLst>
            <a:outerShdw blurRad="63500" sx="102000" sy="102000" algn="ctr" rotWithShape="0">
              <a:prstClr val="black">
                <a:alpha val="20000"/>
              </a:prstClr>
            </a:outerShdw>
          </a:effectLst>
        </c:spPr>
      </c:pivotFmt>
      <c:pivotFmt>
        <c:idx val="10"/>
        <c:spPr>
          <a:solidFill>
            <a:schemeClr val="accent6">
              <a:tint val="77000"/>
            </a:schemeClr>
          </a:solidFill>
          <a:ln>
            <a:noFill/>
          </a:ln>
          <a:effectLst>
            <a:outerShdw blurRad="63500" sx="102000" sy="102000" algn="ctr" rotWithShape="0">
              <a:prstClr val="black">
                <a:alpha val="20000"/>
              </a:prstClr>
            </a:outerShdw>
          </a:effectLst>
        </c:spPr>
      </c:pivotFmt>
      <c:pivotFmt>
        <c:idx val="11"/>
        <c:spPr>
          <a:solidFill>
            <a:schemeClr val="accent6">
              <a:tint val="54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'Sum of salary'!$B$1</c:f>
              <c:strCache>
                <c:ptCount val="1"/>
                <c:pt idx="0">
                  <c:v>Sum of Bonas_Salary</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5454-48CE-A953-088B2ECC28B7}"/>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5454-48CE-A953-088B2ECC28B7}"/>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5454-48CE-A953-088B2ECC28B7}"/>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5454-48CE-A953-088B2ECC28B7}"/>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5454-48CE-A953-088B2ECC28B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 of salary'!$A$2:$A$7</c:f>
              <c:strCache>
                <c:ptCount val="5"/>
                <c:pt idx="0">
                  <c:v>Engineering</c:v>
                </c:pt>
                <c:pt idx="1">
                  <c:v>Finance</c:v>
                </c:pt>
                <c:pt idx="2">
                  <c:v>HR</c:v>
                </c:pt>
                <c:pt idx="3">
                  <c:v>Marketing</c:v>
                </c:pt>
                <c:pt idx="4">
                  <c:v>Sales</c:v>
                </c:pt>
              </c:strCache>
            </c:strRef>
          </c:cat>
          <c:val>
            <c:numRef>
              <c:f>'Sum of salary'!$B$2:$B$7</c:f>
              <c:numCache>
                <c:formatCode>General</c:formatCode>
                <c:ptCount val="5"/>
                <c:pt idx="0">
                  <c:v>211060</c:v>
                </c:pt>
                <c:pt idx="1">
                  <c:v>68200</c:v>
                </c:pt>
                <c:pt idx="2">
                  <c:v>39600</c:v>
                </c:pt>
                <c:pt idx="3">
                  <c:v>64700</c:v>
                </c:pt>
                <c:pt idx="4">
                  <c:v>82790</c:v>
                </c:pt>
              </c:numCache>
            </c:numRef>
          </c:val>
          <c:extLst>
            <c:ext xmlns:c16="http://schemas.microsoft.com/office/drawing/2014/chart" uri="{C3380CC4-5D6E-409C-BE32-E72D297353CC}">
              <c16:uniqueId val="{00000000-5454-48CE-A953-088B2ECC28B7}"/>
            </c:ext>
          </c:extLst>
        </c:ser>
        <c:ser>
          <c:idx val="1"/>
          <c:order val="1"/>
          <c:tx>
            <c:strRef>
              <c:f>'Sum of salary'!$C$1</c:f>
              <c:strCache>
                <c:ptCount val="1"/>
                <c:pt idx="0">
                  <c:v>Sum of Total_Annual_Salary_USD</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5454-48CE-A953-088B2ECC28B7}"/>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5454-48CE-A953-088B2ECC28B7}"/>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5454-48CE-A953-088B2ECC28B7}"/>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5454-48CE-A953-088B2ECC28B7}"/>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5454-48CE-A953-088B2ECC28B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rgbClr val="002060"/>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 of salary'!$A$2:$A$7</c:f>
              <c:strCache>
                <c:ptCount val="5"/>
                <c:pt idx="0">
                  <c:v>Engineering</c:v>
                </c:pt>
                <c:pt idx="1">
                  <c:v>Finance</c:v>
                </c:pt>
                <c:pt idx="2">
                  <c:v>HR</c:v>
                </c:pt>
                <c:pt idx="3">
                  <c:v>Marketing</c:v>
                </c:pt>
                <c:pt idx="4">
                  <c:v>Sales</c:v>
                </c:pt>
              </c:strCache>
            </c:strRef>
          </c:cat>
          <c:val>
            <c:numRef>
              <c:f>'Sum of salary'!$C$2:$C$7</c:f>
              <c:numCache>
                <c:formatCode>#,##0</c:formatCode>
                <c:ptCount val="5"/>
                <c:pt idx="0">
                  <c:v>1221060</c:v>
                </c:pt>
                <c:pt idx="1">
                  <c:v>409200</c:v>
                </c:pt>
                <c:pt idx="2">
                  <c:v>259600</c:v>
                </c:pt>
                <c:pt idx="3">
                  <c:v>384700</c:v>
                </c:pt>
                <c:pt idx="4">
                  <c:v>463790</c:v>
                </c:pt>
              </c:numCache>
            </c:numRef>
          </c:val>
          <c:extLst>
            <c:ext xmlns:c16="http://schemas.microsoft.com/office/drawing/2014/chart" uri="{C3380CC4-5D6E-409C-BE32-E72D297353CC}">
              <c16:uniqueId val="{00000002-5454-48CE-A953-088B2ECC28B7}"/>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alpha val="50000"/>
      </a:schemeClr>
    </a:solidFill>
    <a:ln w="9525" cap="flat" cmpd="sng" algn="ctr">
      <a:noFill/>
      <a:round/>
    </a:ln>
    <a:effectLst/>
  </c:spPr>
  <c:txPr>
    <a:bodyPr/>
    <a:lstStyle/>
    <a:p>
      <a:pPr>
        <a:defRPr>
          <a:solidFill>
            <a:srgbClr val="002060"/>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Junior</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errBars>
            <c:errBarType val="both"/>
            <c:errValType val="stdErr"/>
            <c:noEndCap val="0"/>
            <c:spPr>
              <a:noFill/>
              <a:ln w="9525" cap="flat" cmpd="sng" algn="ctr">
                <a:solidFill>
                  <a:schemeClr val="lt1">
                    <a:lumMod val="95000"/>
                  </a:schemeClr>
                </a:solidFill>
                <a:round/>
              </a:ln>
              <a:effectLst/>
            </c:spPr>
          </c:errBars>
          <c:cat>
            <c:strLit>
              <c:ptCount val="4"/>
              <c:pt idx="0">
                <c:v>2</c:v>
              </c:pt>
              <c:pt idx="1">
                <c:v>3</c:v>
              </c:pt>
              <c:pt idx="2">
                <c:v>4</c:v>
              </c:pt>
              <c:pt idx="3">
                <c:v>5</c:v>
              </c:pt>
            </c:strLit>
          </c:cat>
          <c:val>
            <c:numLit>
              <c:formatCode>General</c:formatCode>
              <c:ptCount val="4"/>
              <c:pt idx="0">
                <c:v>56833.333333333336</c:v>
              </c:pt>
              <c:pt idx="1">
                <c:v>62132.142857142855</c:v>
              </c:pt>
              <c:pt idx="2">
                <c:v>71597.777777777781</c:v>
              </c:pt>
              <c:pt idx="3">
                <c:v>87270</c:v>
              </c:pt>
            </c:numLit>
          </c:val>
          <c:extLst>
            <c:ext xmlns:c16="http://schemas.microsoft.com/office/drawing/2014/chart" uri="{C3380CC4-5D6E-409C-BE32-E72D297353CC}">
              <c16:uniqueId val="{00000000-757E-43EB-9D7B-FA08F5EA4A26}"/>
            </c:ext>
          </c:extLst>
        </c:ser>
        <c:ser>
          <c:idx val="1"/>
          <c:order val="1"/>
          <c:tx>
            <c:v>Mid</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errBars>
            <c:errBarType val="both"/>
            <c:errValType val="stdErr"/>
            <c:noEndCap val="0"/>
            <c:spPr>
              <a:noFill/>
              <a:ln w="9525" cap="flat" cmpd="sng" algn="ctr">
                <a:solidFill>
                  <a:schemeClr val="lt1">
                    <a:lumMod val="95000"/>
                  </a:schemeClr>
                </a:solidFill>
                <a:round/>
              </a:ln>
              <a:effectLst/>
            </c:spPr>
          </c:errBars>
          <c:cat>
            <c:strLit>
              <c:ptCount val="4"/>
              <c:pt idx="0">
                <c:v>2</c:v>
              </c:pt>
              <c:pt idx="1">
                <c:v>3</c:v>
              </c:pt>
              <c:pt idx="2">
                <c:v>4</c:v>
              </c:pt>
              <c:pt idx="3">
                <c:v>5</c:v>
              </c:pt>
            </c:strLit>
          </c:cat>
          <c:val>
            <c:numLit>
              <c:formatCode>General</c:formatCode>
              <c:ptCount val="4"/>
              <c:pt idx="0">
                <c:v>73860</c:v>
              </c:pt>
              <c:pt idx="1">
                <c:v>84903</c:v>
              </c:pt>
              <c:pt idx="2">
                <c:v>94577.857142857145</c:v>
              </c:pt>
              <c:pt idx="3">
                <c:v>113000</c:v>
              </c:pt>
            </c:numLit>
          </c:val>
          <c:extLst>
            <c:ext xmlns:c16="http://schemas.microsoft.com/office/drawing/2014/chart" uri="{C3380CC4-5D6E-409C-BE32-E72D297353CC}">
              <c16:uniqueId val="{00000001-757E-43EB-9D7B-FA08F5EA4A26}"/>
            </c:ext>
          </c:extLst>
        </c:ser>
        <c:ser>
          <c:idx val="2"/>
          <c:order val="2"/>
          <c:tx>
            <c:v>Senior</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trendline>
            <c:spPr>
              <a:ln w="19050" cap="rnd">
                <a:solidFill>
                  <a:schemeClr val="accent3"/>
                </a:solidFill>
              </a:ln>
              <a:effectLst/>
            </c:spPr>
            <c:trendlineType val="linear"/>
            <c:dispRSqr val="0"/>
            <c:dispEq val="0"/>
          </c:trendline>
          <c:errBars>
            <c:errBarType val="both"/>
            <c:errValType val="stdErr"/>
            <c:noEndCap val="0"/>
            <c:spPr>
              <a:noFill/>
              <a:ln w="9525" cap="flat" cmpd="sng" algn="ctr">
                <a:solidFill>
                  <a:schemeClr val="lt1">
                    <a:lumMod val="95000"/>
                  </a:schemeClr>
                </a:solidFill>
                <a:round/>
              </a:ln>
              <a:effectLst/>
            </c:spPr>
          </c:errBars>
          <c:cat>
            <c:strLit>
              <c:ptCount val="4"/>
              <c:pt idx="0">
                <c:v>2</c:v>
              </c:pt>
              <c:pt idx="1">
                <c:v>3</c:v>
              </c:pt>
              <c:pt idx="2">
                <c:v>4</c:v>
              </c:pt>
              <c:pt idx="3">
                <c:v>5</c:v>
              </c:pt>
            </c:strLit>
          </c:cat>
          <c:val>
            <c:numLit>
              <c:formatCode>General</c:formatCode>
              <c:ptCount val="4"/>
              <c:pt idx="0">
                <c:v>103333.33333333333</c:v>
              </c:pt>
              <c:pt idx="1">
                <c:v>118692.85714285714</c:v>
              </c:pt>
              <c:pt idx="2">
                <c:v>133406.92307692306</c:v>
              </c:pt>
              <c:pt idx="3">
                <c:v>153754.61538461538</c:v>
              </c:pt>
            </c:numLit>
          </c:val>
          <c:extLst>
            <c:ext xmlns:c16="http://schemas.microsoft.com/office/drawing/2014/chart" uri="{C3380CC4-5D6E-409C-BE32-E72D297353CC}">
              <c16:uniqueId val="{00000002-757E-43EB-9D7B-FA08F5EA4A26}"/>
            </c:ext>
          </c:extLst>
        </c:ser>
        <c:dLbls>
          <c:showLegendKey val="0"/>
          <c:showVal val="0"/>
          <c:showCatName val="0"/>
          <c:showSerName val="0"/>
          <c:showPercent val="0"/>
          <c:showBubbleSize val="0"/>
        </c:dLbls>
        <c:gapWidth val="100"/>
        <c:overlap val="-24"/>
        <c:axId val="892444640"/>
        <c:axId val="892440320"/>
      </c:barChart>
      <c:catAx>
        <c:axId val="89244464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dk1"/>
                    </a:solidFill>
                    <a:latin typeface="+mn-lt"/>
                    <a:ea typeface="+mn-ea"/>
                    <a:cs typeface="+mn-cs"/>
                  </a:defRPr>
                </a:pPr>
                <a:r>
                  <a:rPr lang="en-IN"/>
                  <a:t>Performance_Rating (1-5)</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dk1"/>
                  </a:solidFill>
                  <a:latin typeface="+mn-lt"/>
                  <a:ea typeface="+mn-ea"/>
                  <a:cs typeface="+mn-cs"/>
                </a:defRPr>
              </a:pPr>
              <a:endParaRPr lang="en-US"/>
            </a:p>
          </c:txPr>
        </c:title>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92440320"/>
        <c:crosses val="autoZero"/>
        <c:auto val="1"/>
        <c:lblAlgn val="ctr"/>
        <c:lblOffset val="100"/>
        <c:noMultiLvlLbl val="0"/>
      </c:catAx>
      <c:valAx>
        <c:axId val="892440320"/>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dk1"/>
                    </a:solidFill>
                    <a:latin typeface="+mn-lt"/>
                    <a:ea typeface="+mn-ea"/>
                    <a:cs typeface="+mn-cs"/>
                  </a:defRPr>
                </a:pPr>
                <a:r>
                  <a:rPr lang="en-IN"/>
                  <a:t>Total_Annual_Salary_USD</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dk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892444640"/>
        <c:crosses val="max"/>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dk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tileRect/>
    </a:gradFill>
    <a:ln w="12700" cap="flat" cmpd="sng" algn="ctr">
      <a:solidFill>
        <a:schemeClr val="accent4"/>
      </a:solidFill>
      <a:prstDash val="solid"/>
      <a:miter lim="800000"/>
    </a:ln>
    <a:effectLst/>
    <a:scene3d>
      <a:camera prst="orthographicFront"/>
      <a:lightRig rig="threePt" dir="t"/>
    </a:scene3d>
    <a:sp3d>
      <a:bevelT w="165100" prst="coolSlant"/>
    </a:sp3d>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layout>
        <c:manualLayout>
          <c:xMode val="edge"/>
          <c:yMode val="edge"/>
          <c:x val="0.3476596675415573"/>
          <c:y val="3.240740740740740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accent3"/>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22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rAngAx val="1"/>
    </c:view3D>
    <c:floor>
      <c:thickness val="0"/>
      <c:spPr>
        <a:noFill/>
        <a:ln>
          <a:noFill/>
        </a:ln>
        <a:effectLst/>
        <a:sp3d/>
      </c:spPr>
    </c:floor>
    <c:sideWall>
      <c:thickness val="0"/>
      <c:spPr>
        <a:solidFill>
          <a:schemeClr val="accent3">
            <a:alpha val="50000"/>
          </a:schemeClr>
        </a:solidFill>
        <a:ln>
          <a:noFill/>
        </a:ln>
        <a:effectLst/>
        <a:sp3d/>
      </c:spPr>
    </c:sideWall>
    <c:backWall>
      <c:thickness val="0"/>
      <c:spPr>
        <a:solidFill>
          <a:schemeClr val="accent3">
            <a:alpha val="50000"/>
          </a:schemeClr>
        </a:solidFill>
        <a:ln>
          <a:noFill/>
        </a:ln>
        <a:effectLst/>
        <a:sp3d/>
      </c:spPr>
    </c:backWall>
    <c:plotArea>
      <c:layout>
        <c:manualLayout>
          <c:layoutTarget val="inner"/>
          <c:xMode val="edge"/>
          <c:yMode val="edge"/>
          <c:x val="0.24508046741875131"/>
          <c:y val="0.11404628966833691"/>
          <c:w val="0.49074671916010498"/>
          <c:h val="0.63130395158938468"/>
        </c:manualLayout>
      </c:layout>
      <c:bar3DChart>
        <c:barDir val="col"/>
        <c:grouping val="clustered"/>
        <c:varyColors val="0"/>
        <c:ser>
          <c:idx val="0"/>
          <c:order val="0"/>
          <c:tx>
            <c:v>Sum of Total_Annual_Salary_USD</c:v>
          </c:tx>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3"/>
              <c:pt idx="0">
                <c:v>Junior</c:v>
              </c:pt>
              <c:pt idx="1">
                <c:v>Mid</c:v>
              </c:pt>
              <c:pt idx="2">
                <c:v>Senior</c:v>
              </c:pt>
            </c:strLit>
          </c:cat>
          <c:val>
            <c:numLit>
              <c:formatCode>General</c:formatCode>
              <c:ptCount val="3"/>
              <c:pt idx="0">
                <c:v>2029770</c:v>
              </c:pt>
              <c:pt idx="1">
                <c:v>3033560</c:v>
              </c:pt>
              <c:pt idx="2">
                <c:v>4873950</c:v>
              </c:pt>
            </c:numLit>
          </c:val>
          <c:shape val="cylinder"/>
          <c:extLst>
            <c:ext xmlns:c16="http://schemas.microsoft.com/office/drawing/2014/chart" uri="{C3380CC4-5D6E-409C-BE32-E72D297353CC}">
              <c16:uniqueId val="{00000000-A448-4203-999C-70678AB4F6B3}"/>
            </c:ext>
          </c:extLst>
        </c:ser>
        <c:ser>
          <c:idx val="1"/>
          <c:order val="1"/>
          <c:tx>
            <c:v>Sum of Annual_Salary_USD</c:v>
          </c:tx>
          <c:spPr>
            <a:gradFill rotWithShape="1">
              <a:gsLst>
                <a:gs pos="0">
                  <a:schemeClr val="accent3">
                    <a:shade val="76000"/>
                    <a:satMod val="103000"/>
                    <a:lumMod val="102000"/>
                    <a:tint val="94000"/>
                  </a:schemeClr>
                </a:gs>
                <a:gs pos="50000">
                  <a:schemeClr val="accent3">
                    <a:shade val="76000"/>
                    <a:satMod val="110000"/>
                    <a:lumMod val="100000"/>
                    <a:shade val="100000"/>
                  </a:schemeClr>
                </a:gs>
                <a:gs pos="100000">
                  <a:schemeClr val="accent3">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Lit>
              <c:ptCount val="3"/>
              <c:pt idx="0">
                <c:v>Junior</c:v>
              </c:pt>
              <c:pt idx="1">
                <c:v>Mid</c:v>
              </c:pt>
              <c:pt idx="2">
                <c:v>Senior</c:v>
              </c:pt>
            </c:strLit>
          </c:cat>
          <c:val>
            <c:numLit>
              <c:formatCode>General</c:formatCode>
              <c:ptCount val="3"/>
              <c:pt idx="0">
                <c:v>1915000</c:v>
              </c:pt>
              <c:pt idx="1">
                <c:v>2763000</c:v>
              </c:pt>
              <c:pt idx="2">
                <c:v>4255000</c:v>
              </c:pt>
            </c:numLit>
          </c:val>
          <c:shape val="cylinder"/>
          <c:extLst>
            <c:ext xmlns:c16="http://schemas.microsoft.com/office/drawing/2014/chart" uri="{C3380CC4-5D6E-409C-BE32-E72D297353CC}">
              <c16:uniqueId val="{00000001-A448-4203-999C-70678AB4F6B3}"/>
            </c:ext>
          </c:extLst>
        </c:ser>
        <c:dLbls>
          <c:showLegendKey val="0"/>
          <c:showVal val="0"/>
          <c:showCatName val="0"/>
          <c:showSerName val="0"/>
          <c:showPercent val="0"/>
          <c:showBubbleSize val="0"/>
        </c:dLbls>
        <c:gapWidth val="250"/>
        <c:gapDepth val="470"/>
        <c:shape val="box"/>
        <c:axId val="902654672"/>
        <c:axId val="902659952"/>
        <c:axId val="0"/>
      </c:bar3DChart>
      <c:catAx>
        <c:axId val="902654672"/>
        <c:scaling>
          <c:orientation val="minMax"/>
        </c:scaling>
        <c:delete val="0"/>
        <c:axPos val="b"/>
        <c:title>
          <c:layout>
            <c:manualLayout>
              <c:xMode val="edge"/>
              <c:yMode val="edge"/>
              <c:x val="0.8741596184460968"/>
              <c:y val="0.79375461703650685"/>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accent3"/>
                  </a:solidFill>
                  <a:latin typeface="+mn-lt"/>
                  <a:ea typeface="+mn-ea"/>
                  <a:cs typeface="+mn-cs"/>
                </a:defRPr>
              </a:pPr>
              <a:endParaRPr lang="en-US"/>
            </a:p>
          </c:txPr>
        </c:title>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crossAx val="902659952"/>
        <c:crosses val="autoZero"/>
        <c:auto val="1"/>
        <c:lblAlgn val="ctr"/>
        <c:lblOffset val="100"/>
        <c:noMultiLvlLbl val="0"/>
        <c:extLst>
          <c:ext xmlns:c15="http://schemas.microsoft.com/office/drawing/2012/chart" uri="{F40574EE-89B7-4290-83BB-5DA773EAF853}">
            <c15:numFmt c:formatCode="General" c:sourceLinked="1"/>
          </c:ext>
        </c:extLst>
      </c:catAx>
      <c:valAx>
        <c:axId val="902659952"/>
        <c:scaling>
          <c:orientation val="minMax"/>
        </c:scaling>
        <c:delete val="0"/>
        <c:axPos val="l"/>
        <c:majorGridlines>
          <c:spPr>
            <a:ln w="9525" cap="flat" cmpd="sng" algn="ctr">
              <a:solidFill>
                <a:schemeClr val="lt1">
                  <a:lumMod val="95000"/>
                  <a:alpha val="10000"/>
                </a:schemeClr>
              </a:solidFill>
              <a:round/>
            </a:ln>
            <a:effectLst/>
          </c:spPr>
        </c:majorGridlines>
        <c:minorGridlines>
          <c:spPr>
            <a:ln w="22225">
              <a:solidFill>
                <a:schemeClr val="lt1">
                  <a:lumMod val="95000"/>
                  <a:alpha val="5000"/>
                </a:schemeClr>
              </a:solidFill>
            </a:ln>
            <a:effectLst/>
          </c:spPr>
        </c:minorGridlines>
        <c:title>
          <c:layout>
            <c:manualLayout>
              <c:xMode val="edge"/>
              <c:yMode val="edge"/>
              <c:x val="2.2729221347331588E-2"/>
              <c:y val="0.43084317585301835"/>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accent3"/>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crossAx val="902654672"/>
        <c:crosses val="autoZero"/>
        <c:crossBetween val="between"/>
        <c:extLst>
          <c:ext xmlns:c15="http://schemas.microsoft.com/office/drawing/2012/chart" uri="{F40574EE-89B7-4290-83BB-5DA773EAF853}">
            <c15:numFmt c:formatCode="General" c:sourceLinked="1"/>
          </c:ext>
        </c:extLst>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accent3"/>
                </a:solidFill>
                <a:latin typeface="+mn-lt"/>
                <a:ea typeface="+mn-ea"/>
                <a:cs typeface="+mn-cs"/>
              </a:defRPr>
            </a:pPr>
            <a:endParaRPr lang="en-US"/>
          </a:p>
        </c:txPr>
      </c:dTable>
      <c:spPr>
        <a:noFill/>
        <a:ln>
          <a:noFill/>
        </a:ln>
        <a:effectLst/>
      </c:spPr>
    </c:plotArea>
    <c:legend>
      <c:legendPos val="r"/>
      <c:layout>
        <c:manualLayout>
          <c:xMode val="edge"/>
          <c:yMode val="edge"/>
          <c:x val="0.78569565379655915"/>
          <c:y val="1.7715808838547353E-3"/>
          <c:w val="0.20899190726159228"/>
          <c:h val="0.525465150189559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3"/>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3"/>
      </a:solidFill>
      <a:prstDash val="solid"/>
      <a:round/>
      <a:headEnd type="none" w="med" len="med"/>
      <a:tailEnd type="none" w="med" len="med"/>
    </a:ln>
    <a:effectLst/>
  </c:spPr>
  <c:txPr>
    <a:bodyPr/>
    <a:lstStyle/>
    <a:p>
      <a:pPr>
        <a:defRPr>
          <a:solidFill>
            <a:schemeClr val="accent3"/>
          </a:solidFill>
          <a:latin typeface="+mn-lt"/>
          <a:ea typeface="+mn-ea"/>
          <a:cs typeface="+mn-cs"/>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and Payroll project.xlsm]PivotChartTable2</c15:name>
        <c15:fmtId val="6"/>
      </c15:pivotSource>
      <c15:pivotOptions>
        <c15:dropZoneFilter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dLbl>
          <c:idx val="0"/>
          <c:showLegendKey val="0"/>
          <c:showVal val="0"/>
          <c:showCatName val="0"/>
          <c:showSerName val="0"/>
          <c:showPercent val="0"/>
          <c:showBubbleSize val="0"/>
          <c:extLst>
            <c:ext xmlns:c15="http://schemas.microsoft.com/office/drawing/2012/chart" uri="{CE6537A1-D6FC-4f65-9D91-7224C49458BB}"/>
          </c:extLst>
        </c:dLbl>
      </c:pivotFmt>
      <c:pivotFmt>
        <c:idx val="233"/>
        <c:dLbl>
          <c:idx val="0"/>
          <c:showLegendKey val="0"/>
          <c:showVal val="0"/>
          <c:showCatName val="0"/>
          <c:showSerName val="0"/>
          <c:showPercent val="0"/>
          <c:showBubbleSize val="0"/>
          <c:extLst>
            <c:ext xmlns:c15="http://schemas.microsoft.com/office/drawing/2012/chart" uri="{CE6537A1-D6FC-4f65-9D91-7224C49458BB}"/>
          </c:extLst>
        </c:dLbl>
      </c:pivotFmt>
      <c:pivotFmt>
        <c:idx val="234"/>
        <c:dLbl>
          <c:idx val="0"/>
          <c:showLegendKey val="0"/>
          <c:showVal val="0"/>
          <c:showCatName val="0"/>
          <c:showSerName val="0"/>
          <c:showPercent val="0"/>
          <c:showBubbleSize val="0"/>
          <c:extLst>
            <c:ext xmlns:c15="http://schemas.microsoft.com/office/drawing/2012/chart" uri="{CE6537A1-D6FC-4f65-9D91-7224C49458BB}"/>
          </c:extLst>
        </c:dLbl>
      </c:pivotFmt>
      <c:pivotFmt>
        <c:idx val="235"/>
        <c:dLbl>
          <c:idx val="0"/>
          <c:showLegendKey val="0"/>
          <c:showVal val="0"/>
          <c:showCatName val="0"/>
          <c:showSerName val="0"/>
          <c:showPercent val="0"/>
          <c:showBubbleSize val="0"/>
          <c:extLst>
            <c:ext xmlns:c15="http://schemas.microsoft.com/office/drawing/2012/chart" uri="{CE6537A1-D6FC-4f65-9D91-7224C49458BB}"/>
          </c:extLst>
        </c:dLbl>
      </c:pivotFmt>
      <c:pivotFmt>
        <c:idx val="236"/>
        <c:dLbl>
          <c:idx val="0"/>
          <c:showLegendKey val="0"/>
          <c:showVal val="0"/>
          <c:showCatName val="0"/>
          <c:showSerName val="0"/>
          <c:showPercent val="0"/>
          <c:showBubbleSize val="0"/>
          <c:extLst>
            <c:ext xmlns:c15="http://schemas.microsoft.com/office/drawing/2012/chart" uri="{CE6537A1-D6FC-4f65-9D91-7224C49458BB}"/>
          </c:extLst>
        </c:dLbl>
      </c:pivotFmt>
      <c:pivotFmt>
        <c:idx val="237"/>
        <c:dLbl>
          <c:idx val="0"/>
          <c:showLegendKey val="0"/>
          <c:showVal val="0"/>
          <c:showCatName val="0"/>
          <c:showSerName val="0"/>
          <c:showPercent val="0"/>
          <c:showBubbleSize val="0"/>
          <c:extLst>
            <c:ext xmlns:c15="http://schemas.microsoft.com/office/drawing/2012/chart" uri="{CE6537A1-D6FC-4f65-9D91-7224C49458BB}"/>
          </c:extLst>
        </c:dLbl>
      </c:pivotFmt>
      <c:pivotFmt>
        <c:idx val="238"/>
        <c:dLbl>
          <c:idx val="0"/>
          <c:showLegendKey val="0"/>
          <c:showVal val="0"/>
          <c:showCatName val="0"/>
          <c:showSerName val="0"/>
          <c:showPercent val="0"/>
          <c:showBubbleSize val="0"/>
          <c:extLst>
            <c:ext xmlns:c15="http://schemas.microsoft.com/office/drawing/2012/chart" uri="{CE6537A1-D6FC-4f65-9D91-7224C49458BB}"/>
          </c:extLst>
        </c:dLbl>
      </c:pivotFmt>
      <c:pivotFmt>
        <c:idx val="239"/>
        <c:dLbl>
          <c:idx val="0"/>
          <c:showLegendKey val="0"/>
          <c:showVal val="0"/>
          <c:showCatName val="0"/>
          <c:showSerName val="0"/>
          <c:showPercent val="0"/>
          <c:showBubbleSize val="0"/>
          <c:extLst>
            <c:ext xmlns:c15="http://schemas.microsoft.com/office/drawing/2012/chart" uri="{CE6537A1-D6FC-4f65-9D91-7224C49458BB}"/>
          </c:extLst>
        </c:dLbl>
      </c:pivotFmt>
      <c:pivotFmt>
        <c:idx val="240"/>
        <c:dLbl>
          <c:idx val="0"/>
          <c:showLegendKey val="0"/>
          <c:showVal val="0"/>
          <c:showCatName val="0"/>
          <c:showSerName val="0"/>
          <c:showPercent val="0"/>
          <c:showBubbleSize val="0"/>
          <c:extLst>
            <c:ext xmlns:c15="http://schemas.microsoft.com/office/drawing/2012/chart" uri="{CE6537A1-D6FC-4f65-9D91-7224C49458BB}"/>
          </c:extLst>
        </c:dLbl>
      </c:pivotFmt>
      <c:pivotFmt>
        <c:idx val="241"/>
        <c:dLbl>
          <c:idx val="0"/>
          <c:showLegendKey val="0"/>
          <c:showVal val="0"/>
          <c:showCatName val="0"/>
          <c:showSerName val="0"/>
          <c:showPercent val="0"/>
          <c:showBubbleSize val="0"/>
          <c:extLst>
            <c:ext xmlns:c15="http://schemas.microsoft.com/office/drawing/2012/chart" uri="{CE6537A1-D6FC-4f65-9D91-7224C49458BB}"/>
          </c:extLst>
        </c:dLbl>
      </c:pivotFmt>
      <c:pivotFmt>
        <c:idx val="242"/>
        <c:dLbl>
          <c:idx val="0"/>
          <c:showLegendKey val="0"/>
          <c:showVal val="0"/>
          <c:showCatName val="0"/>
          <c:showSerName val="0"/>
          <c:showPercent val="0"/>
          <c:showBubbleSize val="0"/>
          <c:extLst>
            <c:ext xmlns:c15="http://schemas.microsoft.com/office/drawing/2012/chart" uri="{CE6537A1-D6FC-4f65-9D91-7224C49458BB}"/>
          </c:extLst>
        </c:dLbl>
      </c:pivotFmt>
      <c:pivotFmt>
        <c:idx val="243"/>
        <c:dLbl>
          <c:idx val="0"/>
          <c:showLegendKey val="0"/>
          <c:showVal val="0"/>
          <c:showCatName val="0"/>
          <c:showSerName val="0"/>
          <c:showPercent val="0"/>
          <c:showBubbleSize val="0"/>
          <c:extLst>
            <c:ext xmlns:c15="http://schemas.microsoft.com/office/drawing/2012/chart" uri="{CE6537A1-D6FC-4f65-9D91-7224C49458BB}"/>
          </c:extLst>
        </c:dLbl>
      </c:pivotFmt>
      <c:pivotFmt>
        <c:idx val="244"/>
        <c:dLbl>
          <c:idx val="0"/>
          <c:showLegendKey val="0"/>
          <c:showVal val="0"/>
          <c:showCatName val="0"/>
          <c:showSerName val="0"/>
          <c:showPercent val="0"/>
          <c:showBubbleSize val="0"/>
          <c:extLst>
            <c:ext xmlns:c15="http://schemas.microsoft.com/office/drawing/2012/chart" uri="{CE6537A1-D6FC-4f65-9D91-7224C49458BB}"/>
          </c:extLst>
        </c:dLbl>
      </c:pivotFmt>
      <c:pivotFmt>
        <c:idx val="245"/>
        <c:dLbl>
          <c:idx val="0"/>
          <c:showLegendKey val="0"/>
          <c:showVal val="0"/>
          <c:showCatName val="0"/>
          <c:showSerName val="0"/>
          <c:showPercent val="0"/>
          <c:showBubbleSize val="0"/>
          <c:extLst>
            <c:ext xmlns:c15="http://schemas.microsoft.com/office/drawing/2012/chart" uri="{CE6537A1-D6FC-4f65-9D91-7224C49458BB}"/>
          </c:extLst>
        </c:dLbl>
      </c:pivotFmt>
      <c:pivotFmt>
        <c:idx val="246"/>
        <c:dLbl>
          <c:idx val="0"/>
          <c:showLegendKey val="0"/>
          <c:showVal val="0"/>
          <c:showCatName val="0"/>
          <c:showSerName val="0"/>
          <c:showPercent val="0"/>
          <c:showBubbleSize val="0"/>
          <c:extLst>
            <c:ext xmlns:c15="http://schemas.microsoft.com/office/drawing/2012/chart" uri="{CE6537A1-D6FC-4f65-9D91-7224C49458BB}"/>
          </c:extLst>
        </c:dLbl>
      </c:pivotFmt>
      <c:pivotFmt>
        <c:idx val="247"/>
        <c:dLbl>
          <c:idx val="0"/>
          <c:showLegendKey val="0"/>
          <c:showVal val="0"/>
          <c:showCatName val="0"/>
          <c:showSerName val="0"/>
          <c:showPercent val="0"/>
          <c:showBubbleSize val="0"/>
          <c:extLst>
            <c:ext xmlns:c15="http://schemas.microsoft.com/office/drawing/2012/chart" uri="{CE6537A1-D6FC-4f65-9D91-7224C49458BB}"/>
          </c:extLst>
        </c:dLbl>
      </c:pivotFmt>
      <c:pivotFmt>
        <c:idx val="248"/>
        <c:dLbl>
          <c:idx val="0"/>
          <c:showLegendKey val="0"/>
          <c:showVal val="0"/>
          <c:showCatName val="0"/>
          <c:showSerName val="0"/>
          <c:showPercent val="0"/>
          <c:showBubbleSize val="0"/>
          <c:extLst>
            <c:ext xmlns:c15="http://schemas.microsoft.com/office/drawing/2012/chart" uri="{CE6537A1-D6FC-4f65-9D91-7224C49458BB}"/>
          </c:extLst>
        </c:dLbl>
      </c:pivotFmt>
      <c:pivotFmt>
        <c:idx val="249"/>
        <c:dLbl>
          <c:idx val="0"/>
          <c:showLegendKey val="0"/>
          <c:showVal val="0"/>
          <c:showCatName val="0"/>
          <c:showSerName val="0"/>
          <c:showPercent val="0"/>
          <c:showBubbleSize val="0"/>
          <c:extLst>
            <c:ext xmlns:c15="http://schemas.microsoft.com/office/drawing/2012/chart" uri="{CE6537A1-D6FC-4f65-9D91-7224C49458BB}"/>
          </c:extLst>
        </c:dLbl>
      </c:pivotFmt>
      <c:pivotFmt>
        <c:idx val="250"/>
        <c:dLbl>
          <c:idx val="0"/>
          <c:showLegendKey val="0"/>
          <c:showVal val="0"/>
          <c:showCatName val="0"/>
          <c:showSerName val="0"/>
          <c:showPercent val="0"/>
          <c:showBubbleSize val="0"/>
          <c:extLst>
            <c:ext xmlns:c15="http://schemas.microsoft.com/office/drawing/2012/chart" uri="{CE6537A1-D6FC-4f65-9D91-7224C49458BB}"/>
          </c:extLst>
        </c:dLbl>
      </c:pivotFmt>
      <c:pivotFmt>
        <c:idx val="251"/>
        <c:dLbl>
          <c:idx val="0"/>
          <c:showLegendKey val="0"/>
          <c:showVal val="0"/>
          <c:showCatName val="0"/>
          <c:showSerName val="0"/>
          <c:showPercent val="0"/>
          <c:showBubbleSize val="0"/>
          <c:extLst>
            <c:ext xmlns:c15="http://schemas.microsoft.com/office/drawing/2012/chart" uri="{CE6537A1-D6FC-4f65-9D91-7224C49458BB}"/>
          </c:extLst>
        </c:dLbl>
      </c:pivotFmt>
      <c:pivotFmt>
        <c:idx val="252"/>
        <c:dLbl>
          <c:idx val="0"/>
          <c:showLegendKey val="0"/>
          <c:showVal val="0"/>
          <c:showCatName val="0"/>
          <c:showSerName val="0"/>
          <c:showPercent val="0"/>
          <c:showBubbleSize val="0"/>
          <c:extLst>
            <c:ext xmlns:c15="http://schemas.microsoft.com/office/drawing/2012/chart" uri="{CE6537A1-D6FC-4f65-9D91-7224C49458BB}"/>
          </c:extLst>
        </c:dLbl>
      </c:pivotFmt>
      <c:pivotFmt>
        <c:idx val="253"/>
        <c:dLbl>
          <c:idx val="0"/>
          <c:showLegendKey val="0"/>
          <c:showVal val="0"/>
          <c:showCatName val="0"/>
          <c:showSerName val="0"/>
          <c:showPercent val="0"/>
          <c:showBubbleSize val="0"/>
          <c:extLst>
            <c:ext xmlns:c15="http://schemas.microsoft.com/office/drawing/2012/chart" uri="{CE6537A1-D6FC-4f65-9D91-7224C49458BB}"/>
          </c:extLst>
        </c:dLbl>
      </c:pivotFmt>
      <c:pivotFmt>
        <c:idx val="254"/>
        <c:dLbl>
          <c:idx val="0"/>
          <c:showLegendKey val="0"/>
          <c:showVal val="0"/>
          <c:showCatName val="0"/>
          <c:showSerName val="0"/>
          <c:showPercent val="0"/>
          <c:showBubbleSize val="0"/>
          <c:extLst>
            <c:ext xmlns:c15="http://schemas.microsoft.com/office/drawing/2012/chart" uri="{CE6537A1-D6FC-4f65-9D91-7224C49458BB}"/>
          </c:extLst>
        </c:dLbl>
      </c:pivotFmt>
      <c:pivotFmt>
        <c:idx val="255"/>
        <c:dLbl>
          <c:idx val="0"/>
          <c:showLegendKey val="0"/>
          <c:showVal val="0"/>
          <c:showCatName val="0"/>
          <c:showSerName val="0"/>
          <c:showPercent val="0"/>
          <c:showBubbleSize val="0"/>
          <c:extLst>
            <c:ext xmlns:c15="http://schemas.microsoft.com/office/drawing/2012/chart" uri="{CE6537A1-D6FC-4f65-9D91-7224C49458BB}"/>
          </c:extLst>
        </c:dLbl>
      </c:pivotFmt>
      <c:pivotFmt>
        <c:idx val="256"/>
        <c:dLbl>
          <c:idx val="0"/>
          <c:showLegendKey val="0"/>
          <c:showVal val="0"/>
          <c:showCatName val="0"/>
          <c:showSerName val="0"/>
          <c:showPercent val="0"/>
          <c:showBubbleSize val="0"/>
          <c:extLst>
            <c:ext xmlns:c15="http://schemas.microsoft.com/office/drawing/2012/chart" uri="{CE6537A1-D6FC-4f65-9D91-7224C49458BB}"/>
          </c:extLst>
        </c:dLbl>
      </c:pivotFmt>
      <c:pivotFmt>
        <c:idx val="257"/>
        <c:dLbl>
          <c:idx val="0"/>
          <c:showLegendKey val="0"/>
          <c:showVal val="0"/>
          <c:showCatName val="0"/>
          <c:showSerName val="0"/>
          <c:showPercent val="0"/>
          <c:showBubbleSize val="0"/>
          <c:extLst>
            <c:ext xmlns:c15="http://schemas.microsoft.com/office/drawing/2012/chart" uri="{CE6537A1-D6FC-4f65-9D91-7224C49458BB}"/>
          </c:extLst>
        </c:dLbl>
      </c:pivotFmt>
      <c:pivotFmt>
        <c:idx val="258"/>
        <c:dLbl>
          <c:idx val="0"/>
          <c:showLegendKey val="0"/>
          <c:showVal val="0"/>
          <c:showCatName val="0"/>
          <c:showSerName val="0"/>
          <c:showPercent val="0"/>
          <c:showBubbleSize val="0"/>
          <c:extLst>
            <c:ext xmlns:c15="http://schemas.microsoft.com/office/drawing/2012/chart" uri="{CE6537A1-D6FC-4f65-9D91-7224C49458BB}"/>
          </c:extLst>
        </c:dLbl>
      </c:pivotFmt>
      <c:pivotFmt>
        <c:idx val="259"/>
        <c:dLbl>
          <c:idx val="0"/>
          <c:showLegendKey val="0"/>
          <c:showVal val="0"/>
          <c:showCatName val="0"/>
          <c:showSerName val="0"/>
          <c:showPercent val="0"/>
          <c:showBubbleSize val="0"/>
          <c:extLst>
            <c:ext xmlns:c15="http://schemas.microsoft.com/office/drawing/2012/chart" uri="{CE6537A1-D6FC-4f65-9D91-7224C49458BB}"/>
          </c:extLst>
        </c:dLbl>
      </c:pivotFmt>
      <c:pivotFmt>
        <c:idx val="260"/>
        <c:dLbl>
          <c:idx val="0"/>
          <c:showLegendKey val="0"/>
          <c:showVal val="0"/>
          <c:showCatName val="0"/>
          <c:showSerName val="0"/>
          <c:showPercent val="0"/>
          <c:showBubbleSize val="0"/>
          <c:extLst>
            <c:ext xmlns:c15="http://schemas.microsoft.com/office/drawing/2012/chart" uri="{CE6537A1-D6FC-4f65-9D91-7224C49458BB}"/>
          </c:extLst>
        </c:dLbl>
      </c:pivotFmt>
      <c:pivotFmt>
        <c:idx val="261"/>
        <c:dLbl>
          <c:idx val="0"/>
          <c:showLegendKey val="0"/>
          <c:showVal val="0"/>
          <c:showCatName val="0"/>
          <c:showSerName val="0"/>
          <c:showPercent val="0"/>
          <c:showBubbleSize val="0"/>
          <c:extLst>
            <c:ext xmlns:c15="http://schemas.microsoft.com/office/drawing/2012/chart" uri="{CE6537A1-D6FC-4f65-9D91-7224C49458BB}"/>
          </c:extLst>
        </c:dLbl>
      </c:pivotFmt>
      <c:pivotFmt>
        <c:idx val="262"/>
        <c:dLbl>
          <c:idx val="0"/>
          <c:showLegendKey val="0"/>
          <c:showVal val="0"/>
          <c:showCatName val="0"/>
          <c:showSerName val="0"/>
          <c:showPercent val="0"/>
          <c:showBubbleSize val="0"/>
          <c:extLst>
            <c:ext xmlns:c15="http://schemas.microsoft.com/office/drawing/2012/chart" uri="{CE6537A1-D6FC-4f65-9D91-7224C49458BB}"/>
          </c:extLst>
        </c:dLbl>
      </c:pivotFmt>
      <c:pivotFmt>
        <c:idx val="263"/>
        <c:dLbl>
          <c:idx val="0"/>
          <c:showLegendKey val="0"/>
          <c:showVal val="0"/>
          <c:showCatName val="0"/>
          <c:showSerName val="0"/>
          <c:showPercent val="0"/>
          <c:showBubbleSize val="0"/>
          <c:extLst>
            <c:ext xmlns:c15="http://schemas.microsoft.com/office/drawing/2012/chart" uri="{CE6537A1-D6FC-4f65-9D91-7224C49458BB}"/>
          </c:extLst>
        </c:dLbl>
      </c:pivotFmt>
      <c:pivotFmt>
        <c:idx val="264"/>
        <c:dLbl>
          <c:idx val="0"/>
          <c:showLegendKey val="0"/>
          <c:showVal val="0"/>
          <c:showCatName val="0"/>
          <c:showSerName val="0"/>
          <c:showPercent val="0"/>
          <c:showBubbleSize val="0"/>
          <c:extLst>
            <c:ext xmlns:c15="http://schemas.microsoft.com/office/drawing/2012/chart" uri="{CE6537A1-D6FC-4f65-9D91-7224C49458BB}"/>
          </c:extLst>
        </c:dLbl>
      </c:pivotFmt>
      <c:pivotFmt>
        <c:idx val="265"/>
        <c:dLbl>
          <c:idx val="0"/>
          <c:showLegendKey val="0"/>
          <c:showVal val="0"/>
          <c:showCatName val="0"/>
          <c:showSerName val="0"/>
          <c:showPercent val="0"/>
          <c:showBubbleSize val="0"/>
          <c:extLst>
            <c:ext xmlns:c15="http://schemas.microsoft.com/office/drawing/2012/chart" uri="{CE6537A1-D6FC-4f65-9D91-7224C49458BB}"/>
          </c:extLst>
        </c:dLbl>
      </c:pivotFmt>
      <c:pivotFmt>
        <c:idx val="266"/>
        <c:dLbl>
          <c:idx val="0"/>
          <c:showLegendKey val="0"/>
          <c:showVal val="0"/>
          <c:showCatName val="0"/>
          <c:showSerName val="0"/>
          <c:showPercent val="0"/>
          <c:showBubbleSize val="0"/>
          <c:extLst>
            <c:ext xmlns:c15="http://schemas.microsoft.com/office/drawing/2012/chart" uri="{CE6537A1-D6FC-4f65-9D91-7224C49458BB}"/>
          </c:extLst>
        </c:dLbl>
      </c:pivotFmt>
      <c:pivotFmt>
        <c:idx val="267"/>
        <c:dLbl>
          <c:idx val="0"/>
          <c:showLegendKey val="0"/>
          <c:showVal val="0"/>
          <c:showCatName val="0"/>
          <c:showSerName val="0"/>
          <c:showPercent val="0"/>
          <c:showBubbleSize val="0"/>
          <c:extLst>
            <c:ext xmlns:c15="http://schemas.microsoft.com/office/drawing/2012/chart" uri="{CE6537A1-D6FC-4f65-9D91-7224C49458BB}"/>
          </c:extLst>
        </c:dLbl>
      </c:pivotFmt>
      <c:pivotFmt>
        <c:idx val="268"/>
        <c:dLbl>
          <c:idx val="0"/>
          <c:showLegendKey val="0"/>
          <c:showVal val="0"/>
          <c:showCatName val="0"/>
          <c:showSerName val="0"/>
          <c:showPercent val="0"/>
          <c:showBubbleSize val="0"/>
          <c:extLst>
            <c:ext xmlns:c15="http://schemas.microsoft.com/office/drawing/2012/chart" uri="{CE6537A1-D6FC-4f65-9D91-7224C49458BB}"/>
          </c:extLst>
        </c:dLbl>
      </c:pivotFmt>
      <c:pivotFmt>
        <c:idx val="269"/>
        <c:dLbl>
          <c:idx val="0"/>
          <c:showLegendKey val="0"/>
          <c:showVal val="0"/>
          <c:showCatName val="0"/>
          <c:showSerName val="0"/>
          <c:showPercent val="0"/>
          <c:showBubbleSize val="0"/>
          <c:extLst>
            <c:ext xmlns:c15="http://schemas.microsoft.com/office/drawing/2012/chart" uri="{CE6537A1-D6FC-4f65-9D91-7224C49458BB}"/>
          </c:extLst>
        </c:dLbl>
      </c:pivotFmt>
      <c:pivotFmt>
        <c:idx val="270"/>
        <c:dLbl>
          <c:idx val="0"/>
          <c:showLegendKey val="0"/>
          <c:showVal val="0"/>
          <c:showCatName val="0"/>
          <c:showSerName val="0"/>
          <c:showPercent val="0"/>
          <c:showBubbleSize val="0"/>
          <c:extLst>
            <c:ext xmlns:c15="http://schemas.microsoft.com/office/drawing/2012/chart" uri="{CE6537A1-D6FC-4f65-9D91-7224C49458BB}"/>
          </c:extLst>
        </c:dLbl>
      </c:pivotFmt>
      <c:pivotFmt>
        <c:idx val="271"/>
        <c:dLbl>
          <c:idx val="0"/>
          <c:showLegendKey val="0"/>
          <c:showVal val="0"/>
          <c:showCatName val="0"/>
          <c:showSerName val="0"/>
          <c:showPercent val="0"/>
          <c:showBubbleSize val="0"/>
          <c:extLst>
            <c:ext xmlns:c15="http://schemas.microsoft.com/office/drawing/2012/chart" uri="{CE6537A1-D6FC-4f65-9D91-7224C49458BB}"/>
          </c:extLst>
        </c:dLbl>
      </c:pivotFmt>
      <c:pivotFmt>
        <c:idx val="272"/>
        <c:dLbl>
          <c:idx val="0"/>
          <c:showLegendKey val="0"/>
          <c:showVal val="0"/>
          <c:showCatName val="0"/>
          <c:showSerName val="0"/>
          <c:showPercent val="0"/>
          <c:showBubbleSize val="0"/>
          <c:extLst>
            <c:ext xmlns:c15="http://schemas.microsoft.com/office/drawing/2012/chart" uri="{CE6537A1-D6FC-4f65-9D91-7224C49458BB}"/>
          </c:extLst>
        </c:dLbl>
      </c:pivotFmt>
      <c:pivotFmt>
        <c:idx val="273"/>
        <c:dLbl>
          <c:idx val="0"/>
          <c:showLegendKey val="0"/>
          <c:showVal val="0"/>
          <c:showCatName val="0"/>
          <c:showSerName val="0"/>
          <c:showPercent val="0"/>
          <c:showBubbleSize val="0"/>
          <c:extLst>
            <c:ext xmlns:c15="http://schemas.microsoft.com/office/drawing/2012/chart" uri="{CE6537A1-D6FC-4f65-9D91-7224C49458BB}"/>
          </c:extLst>
        </c:dLbl>
      </c:pivotFmt>
      <c:pivotFmt>
        <c:idx val="274"/>
        <c:dLbl>
          <c:idx val="0"/>
          <c:showLegendKey val="0"/>
          <c:showVal val="0"/>
          <c:showCatName val="0"/>
          <c:showSerName val="0"/>
          <c:showPercent val="0"/>
          <c:showBubbleSize val="0"/>
          <c:extLst>
            <c:ext xmlns:c15="http://schemas.microsoft.com/office/drawing/2012/chart" uri="{CE6537A1-D6FC-4f65-9D91-7224C49458BB}"/>
          </c:extLst>
        </c:dLbl>
      </c:pivotFmt>
      <c:pivotFmt>
        <c:idx val="275"/>
        <c:dLbl>
          <c:idx val="0"/>
          <c:showLegendKey val="0"/>
          <c:showVal val="0"/>
          <c:showCatName val="0"/>
          <c:showSerName val="0"/>
          <c:showPercent val="0"/>
          <c:showBubbleSize val="0"/>
          <c:extLst>
            <c:ext xmlns:c15="http://schemas.microsoft.com/office/drawing/2012/chart" uri="{CE6537A1-D6FC-4f65-9D91-7224C49458BB}"/>
          </c:extLst>
        </c:dLbl>
      </c:pivotFmt>
      <c:pivotFmt>
        <c:idx val="276"/>
        <c:dLbl>
          <c:idx val="0"/>
          <c:showLegendKey val="0"/>
          <c:showVal val="0"/>
          <c:showCatName val="0"/>
          <c:showSerName val="0"/>
          <c:showPercent val="0"/>
          <c:showBubbleSize val="0"/>
          <c:extLst>
            <c:ext xmlns:c15="http://schemas.microsoft.com/office/drawing/2012/chart" uri="{CE6537A1-D6FC-4f65-9D91-7224C49458BB}"/>
          </c:extLst>
        </c:dLbl>
      </c:pivotFmt>
      <c:pivotFmt>
        <c:idx val="277"/>
        <c:dLbl>
          <c:idx val="0"/>
          <c:showLegendKey val="0"/>
          <c:showVal val="0"/>
          <c:showCatName val="0"/>
          <c:showSerName val="0"/>
          <c:showPercent val="0"/>
          <c:showBubbleSize val="0"/>
          <c:extLst>
            <c:ext xmlns:c15="http://schemas.microsoft.com/office/drawing/2012/chart" uri="{CE6537A1-D6FC-4f65-9D91-7224C49458BB}"/>
          </c:extLst>
        </c:dLbl>
      </c:pivotFmt>
      <c:pivotFmt>
        <c:idx val="278"/>
        <c:dLbl>
          <c:idx val="0"/>
          <c:showLegendKey val="0"/>
          <c:showVal val="0"/>
          <c:showCatName val="0"/>
          <c:showSerName val="0"/>
          <c:showPercent val="0"/>
          <c:showBubbleSize val="0"/>
          <c:extLst>
            <c:ext xmlns:c15="http://schemas.microsoft.com/office/drawing/2012/chart" uri="{CE6537A1-D6FC-4f65-9D91-7224C49458BB}"/>
          </c:extLst>
        </c:dLbl>
      </c:pivotFmt>
      <c:pivotFmt>
        <c:idx val="279"/>
        <c:dLbl>
          <c:idx val="0"/>
          <c:showLegendKey val="0"/>
          <c:showVal val="0"/>
          <c:showCatName val="0"/>
          <c:showSerName val="0"/>
          <c:showPercent val="0"/>
          <c:showBubbleSize val="0"/>
          <c:extLst>
            <c:ext xmlns:c15="http://schemas.microsoft.com/office/drawing/2012/chart" uri="{CE6537A1-D6FC-4f65-9D91-7224C49458BB}"/>
          </c:extLst>
        </c:dLbl>
      </c:pivotFmt>
      <c:pivotFmt>
        <c:idx val="280"/>
        <c:dLbl>
          <c:idx val="0"/>
          <c:showLegendKey val="0"/>
          <c:showVal val="0"/>
          <c:showCatName val="0"/>
          <c:showSerName val="0"/>
          <c:showPercent val="0"/>
          <c:showBubbleSize val="0"/>
          <c:extLst>
            <c:ext xmlns:c15="http://schemas.microsoft.com/office/drawing/2012/chart" uri="{CE6537A1-D6FC-4f65-9D91-7224C49458BB}"/>
          </c:extLst>
        </c:dLbl>
      </c:pivotFmt>
      <c:pivotFmt>
        <c:idx val="281"/>
        <c:dLbl>
          <c:idx val="0"/>
          <c:showLegendKey val="0"/>
          <c:showVal val="0"/>
          <c:showCatName val="0"/>
          <c:showSerName val="0"/>
          <c:showPercent val="0"/>
          <c:showBubbleSize val="0"/>
          <c:extLst>
            <c:ext xmlns:c15="http://schemas.microsoft.com/office/drawing/2012/chart" uri="{CE6537A1-D6FC-4f65-9D91-7224C49458BB}"/>
          </c:extLst>
        </c:dLbl>
      </c:pivotFmt>
      <c:pivotFmt>
        <c:idx val="282"/>
        <c:dLbl>
          <c:idx val="0"/>
          <c:showLegendKey val="0"/>
          <c:showVal val="0"/>
          <c:showCatName val="0"/>
          <c:showSerName val="0"/>
          <c:showPercent val="0"/>
          <c:showBubbleSize val="0"/>
          <c:extLst>
            <c:ext xmlns:c15="http://schemas.microsoft.com/office/drawing/2012/chart" uri="{CE6537A1-D6FC-4f65-9D91-7224C49458BB}"/>
          </c:extLst>
        </c:dLbl>
      </c:pivotFmt>
      <c:pivotFmt>
        <c:idx val="283"/>
        <c:dLbl>
          <c:idx val="0"/>
          <c:showLegendKey val="0"/>
          <c:showVal val="0"/>
          <c:showCatName val="0"/>
          <c:showSerName val="0"/>
          <c:showPercent val="0"/>
          <c:showBubbleSize val="0"/>
          <c:extLst>
            <c:ext xmlns:c15="http://schemas.microsoft.com/office/drawing/2012/chart" uri="{CE6537A1-D6FC-4f65-9D91-7224C49458BB}"/>
          </c:extLst>
        </c:dLbl>
      </c:pivotFmt>
      <c:pivotFmt>
        <c:idx val="284"/>
        <c:dLbl>
          <c:idx val="0"/>
          <c:showLegendKey val="0"/>
          <c:showVal val="0"/>
          <c:showCatName val="0"/>
          <c:showSerName val="0"/>
          <c:showPercent val="0"/>
          <c:showBubbleSize val="0"/>
          <c:extLst>
            <c:ext xmlns:c15="http://schemas.microsoft.com/office/drawing/2012/chart" uri="{CE6537A1-D6FC-4f65-9D91-7224C49458BB}"/>
          </c:extLst>
        </c:dLbl>
      </c:pivotFmt>
      <c:pivotFmt>
        <c:idx val="285"/>
        <c:dLbl>
          <c:idx val="0"/>
          <c:showLegendKey val="0"/>
          <c:showVal val="0"/>
          <c:showCatName val="0"/>
          <c:showSerName val="0"/>
          <c:showPercent val="0"/>
          <c:showBubbleSize val="0"/>
          <c:extLst>
            <c:ext xmlns:c15="http://schemas.microsoft.com/office/drawing/2012/chart" uri="{CE6537A1-D6FC-4f65-9D91-7224C49458BB}"/>
          </c:extLst>
        </c:dLbl>
      </c:pivotFmt>
      <c:pivotFmt>
        <c:idx val="286"/>
        <c:dLbl>
          <c:idx val="0"/>
          <c:showLegendKey val="0"/>
          <c:showVal val="0"/>
          <c:showCatName val="0"/>
          <c:showSerName val="0"/>
          <c:showPercent val="0"/>
          <c:showBubbleSize val="0"/>
          <c:extLst>
            <c:ext xmlns:c15="http://schemas.microsoft.com/office/drawing/2012/chart" uri="{CE6537A1-D6FC-4f65-9D91-7224C49458BB}"/>
          </c:extLst>
        </c:dLbl>
      </c:pivotFmt>
      <c:pivotFmt>
        <c:idx val="287"/>
        <c:dLbl>
          <c:idx val="0"/>
          <c:showLegendKey val="0"/>
          <c:showVal val="0"/>
          <c:showCatName val="0"/>
          <c:showSerName val="0"/>
          <c:showPercent val="0"/>
          <c:showBubbleSize val="0"/>
          <c:extLst>
            <c:ext xmlns:c15="http://schemas.microsoft.com/office/drawing/2012/chart" uri="{CE6537A1-D6FC-4f65-9D91-7224C49458BB}"/>
          </c:extLst>
        </c:dLbl>
      </c:pivotFmt>
      <c:pivotFmt>
        <c:idx val="288"/>
        <c:dLbl>
          <c:idx val="0"/>
          <c:showLegendKey val="0"/>
          <c:showVal val="0"/>
          <c:showCatName val="0"/>
          <c:showSerName val="0"/>
          <c:showPercent val="0"/>
          <c:showBubbleSize val="0"/>
          <c:extLst>
            <c:ext xmlns:c15="http://schemas.microsoft.com/office/drawing/2012/chart" uri="{CE6537A1-D6FC-4f65-9D91-7224C49458BB}"/>
          </c:extLst>
        </c:dLbl>
      </c:pivotFmt>
      <c:pivotFmt>
        <c:idx val="289"/>
        <c:dLbl>
          <c:idx val="0"/>
          <c:showLegendKey val="0"/>
          <c:showVal val="0"/>
          <c:showCatName val="0"/>
          <c:showSerName val="0"/>
          <c:showPercent val="0"/>
          <c:showBubbleSize val="0"/>
          <c:extLst>
            <c:ext xmlns:c15="http://schemas.microsoft.com/office/drawing/2012/chart" uri="{CE6537A1-D6FC-4f65-9D91-7224C49458BB}"/>
          </c:extLst>
        </c:dLbl>
      </c:pivotFmt>
      <c:pivotFmt>
        <c:idx val="290"/>
        <c:dLbl>
          <c:idx val="0"/>
          <c:showLegendKey val="0"/>
          <c:showVal val="0"/>
          <c:showCatName val="0"/>
          <c:showSerName val="0"/>
          <c:showPercent val="0"/>
          <c:showBubbleSize val="0"/>
          <c:extLst>
            <c:ext xmlns:c15="http://schemas.microsoft.com/office/drawing/2012/chart" uri="{CE6537A1-D6FC-4f65-9D91-7224C49458BB}"/>
          </c:extLst>
        </c:dLbl>
      </c:pivotFmt>
      <c:pivotFmt>
        <c:idx val="291"/>
        <c:dLbl>
          <c:idx val="0"/>
          <c:showLegendKey val="0"/>
          <c:showVal val="0"/>
          <c:showCatName val="0"/>
          <c:showSerName val="0"/>
          <c:showPercent val="0"/>
          <c:showBubbleSize val="0"/>
          <c:extLst>
            <c:ext xmlns:c15="http://schemas.microsoft.com/office/drawing/2012/chart" uri="{CE6537A1-D6FC-4f65-9D91-7224C49458BB}"/>
          </c:extLst>
        </c:dLbl>
      </c:pivotFmt>
      <c:pivotFmt>
        <c:idx val="292"/>
        <c:dLbl>
          <c:idx val="0"/>
          <c:showLegendKey val="0"/>
          <c:showVal val="0"/>
          <c:showCatName val="0"/>
          <c:showSerName val="0"/>
          <c:showPercent val="0"/>
          <c:showBubbleSize val="0"/>
          <c:extLst>
            <c:ext xmlns:c15="http://schemas.microsoft.com/office/drawing/2012/chart" uri="{CE6537A1-D6FC-4f65-9D91-7224C49458BB}"/>
          </c:extLst>
        </c:dLbl>
      </c:pivotFmt>
      <c:pivotFmt>
        <c:idx val="293"/>
        <c:dLbl>
          <c:idx val="0"/>
          <c:showLegendKey val="0"/>
          <c:showVal val="0"/>
          <c:showCatName val="0"/>
          <c:showSerName val="0"/>
          <c:showPercent val="0"/>
          <c:showBubbleSize val="0"/>
          <c:extLst>
            <c:ext xmlns:c15="http://schemas.microsoft.com/office/drawing/2012/chart" uri="{CE6537A1-D6FC-4f65-9D91-7224C49458BB}"/>
          </c:extLst>
        </c:dLbl>
      </c:pivotFmt>
      <c:pivotFmt>
        <c:idx val="294"/>
        <c:dLbl>
          <c:idx val="0"/>
          <c:showLegendKey val="0"/>
          <c:showVal val="0"/>
          <c:showCatName val="0"/>
          <c:showSerName val="0"/>
          <c:showPercent val="0"/>
          <c:showBubbleSize val="0"/>
          <c:extLst>
            <c:ext xmlns:c15="http://schemas.microsoft.com/office/drawing/2012/chart" uri="{CE6537A1-D6FC-4f65-9D91-7224C49458BB}"/>
          </c:extLst>
        </c:dLbl>
      </c:pivotFmt>
      <c:pivotFmt>
        <c:idx val="295"/>
        <c:dLbl>
          <c:idx val="0"/>
          <c:showLegendKey val="0"/>
          <c:showVal val="0"/>
          <c:showCatName val="0"/>
          <c:showSerName val="0"/>
          <c:showPercent val="0"/>
          <c:showBubbleSize val="0"/>
          <c:extLst>
            <c:ext xmlns:c15="http://schemas.microsoft.com/office/drawing/2012/chart" uri="{CE6537A1-D6FC-4f65-9D91-7224C49458BB}"/>
          </c:extLst>
        </c:dLbl>
      </c:pivotFmt>
      <c:pivotFmt>
        <c:idx val="296"/>
        <c:dLbl>
          <c:idx val="0"/>
          <c:showLegendKey val="0"/>
          <c:showVal val="0"/>
          <c:showCatName val="0"/>
          <c:showSerName val="0"/>
          <c:showPercent val="0"/>
          <c:showBubbleSize val="0"/>
          <c:extLst>
            <c:ext xmlns:c15="http://schemas.microsoft.com/office/drawing/2012/chart" uri="{CE6537A1-D6FC-4f65-9D91-7224C49458BB}"/>
          </c:extLst>
        </c:dLbl>
      </c:pivotFmt>
      <c:pivotFmt>
        <c:idx val="297"/>
        <c:dLbl>
          <c:idx val="0"/>
          <c:showLegendKey val="0"/>
          <c:showVal val="0"/>
          <c:showCatName val="0"/>
          <c:showSerName val="0"/>
          <c:showPercent val="0"/>
          <c:showBubbleSize val="0"/>
          <c:extLst>
            <c:ext xmlns:c15="http://schemas.microsoft.com/office/drawing/2012/chart" uri="{CE6537A1-D6FC-4f65-9D91-7224C49458BB}"/>
          </c:extLst>
        </c:dLbl>
      </c:pivotFmt>
      <c:pivotFmt>
        <c:idx val="298"/>
        <c:dLbl>
          <c:idx val="0"/>
          <c:showLegendKey val="0"/>
          <c:showVal val="0"/>
          <c:showCatName val="0"/>
          <c:showSerName val="0"/>
          <c:showPercent val="0"/>
          <c:showBubbleSize val="0"/>
          <c:extLst>
            <c:ext xmlns:c15="http://schemas.microsoft.com/office/drawing/2012/chart" uri="{CE6537A1-D6FC-4f65-9D91-7224C49458BB}"/>
          </c:extLst>
        </c:dLbl>
      </c:pivotFmt>
      <c:pivotFmt>
        <c:idx val="299"/>
        <c:dLbl>
          <c:idx val="0"/>
          <c:showLegendKey val="0"/>
          <c:showVal val="0"/>
          <c:showCatName val="0"/>
          <c:showSerName val="0"/>
          <c:showPercent val="0"/>
          <c:showBubbleSize val="0"/>
          <c:extLst>
            <c:ext xmlns:c15="http://schemas.microsoft.com/office/drawing/2012/chart" uri="{CE6537A1-D6FC-4f65-9D91-7224C49458BB}"/>
          </c:extLst>
        </c:dLbl>
      </c:pivotFmt>
      <c:pivotFmt>
        <c:idx val="300"/>
        <c:dLbl>
          <c:idx val="0"/>
          <c:showLegendKey val="0"/>
          <c:showVal val="0"/>
          <c:showCatName val="0"/>
          <c:showSerName val="0"/>
          <c:showPercent val="0"/>
          <c:showBubbleSize val="0"/>
          <c:extLst>
            <c:ext xmlns:c15="http://schemas.microsoft.com/office/drawing/2012/chart" uri="{CE6537A1-D6FC-4f65-9D91-7224C49458BB}"/>
          </c:extLst>
        </c:dLbl>
      </c:pivotFmt>
      <c:pivotFmt>
        <c:idx val="301"/>
        <c:dLbl>
          <c:idx val="0"/>
          <c:showLegendKey val="0"/>
          <c:showVal val="0"/>
          <c:showCatName val="0"/>
          <c:showSerName val="0"/>
          <c:showPercent val="0"/>
          <c:showBubbleSize val="0"/>
          <c:extLst>
            <c:ext xmlns:c15="http://schemas.microsoft.com/office/drawing/2012/chart" uri="{CE6537A1-D6FC-4f65-9D91-7224C49458BB}"/>
          </c:extLst>
        </c:dLbl>
      </c:pivotFmt>
      <c:pivotFmt>
        <c:idx val="302"/>
        <c:dLbl>
          <c:idx val="0"/>
          <c:showLegendKey val="0"/>
          <c:showVal val="0"/>
          <c:showCatName val="0"/>
          <c:showSerName val="0"/>
          <c:showPercent val="0"/>
          <c:showBubbleSize val="0"/>
          <c:extLst>
            <c:ext xmlns:c15="http://schemas.microsoft.com/office/drawing/2012/chart" uri="{CE6537A1-D6FC-4f65-9D91-7224C49458BB}"/>
          </c:extLst>
        </c:dLbl>
      </c:pivotFmt>
      <c:pivotFmt>
        <c:idx val="303"/>
        <c:dLbl>
          <c:idx val="0"/>
          <c:showLegendKey val="0"/>
          <c:showVal val="0"/>
          <c:showCatName val="0"/>
          <c:showSerName val="0"/>
          <c:showPercent val="0"/>
          <c:showBubbleSize val="0"/>
          <c:extLst>
            <c:ext xmlns:c15="http://schemas.microsoft.com/office/drawing/2012/chart" uri="{CE6537A1-D6FC-4f65-9D91-7224C49458BB}"/>
          </c:extLst>
        </c:dLbl>
      </c:pivotFmt>
      <c:pivotFmt>
        <c:idx val="304"/>
        <c:dLbl>
          <c:idx val="0"/>
          <c:showLegendKey val="0"/>
          <c:showVal val="0"/>
          <c:showCatName val="0"/>
          <c:showSerName val="0"/>
          <c:showPercent val="0"/>
          <c:showBubbleSize val="0"/>
          <c:extLst>
            <c:ext xmlns:c15="http://schemas.microsoft.com/office/drawing/2012/chart" uri="{CE6537A1-D6FC-4f65-9D91-7224C49458BB}"/>
          </c:extLst>
        </c:dLbl>
      </c:pivotFmt>
      <c:pivotFmt>
        <c:idx val="305"/>
        <c:dLbl>
          <c:idx val="0"/>
          <c:showLegendKey val="0"/>
          <c:showVal val="0"/>
          <c:showCatName val="0"/>
          <c:showSerName val="0"/>
          <c:showPercent val="0"/>
          <c:showBubbleSize val="0"/>
          <c:extLst>
            <c:ext xmlns:c15="http://schemas.microsoft.com/office/drawing/2012/chart" uri="{CE6537A1-D6FC-4f65-9D91-7224C49458BB}"/>
          </c:extLst>
        </c:dLbl>
      </c:pivotFmt>
      <c:pivotFmt>
        <c:idx val="306"/>
        <c:dLbl>
          <c:idx val="0"/>
          <c:showLegendKey val="0"/>
          <c:showVal val="0"/>
          <c:showCatName val="0"/>
          <c:showSerName val="0"/>
          <c:showPercent val="0"/>
          <c:showBubbleSize val="0"/>
          <c:extLst>
            <c:ext xmlns:c15="http://schemas.microsoft.com/office/drawing/2012/chart" uri="{CE6537A1-D6FC-4f65-9D91-7224C49458BB}"/>
          </c:extLst>
        </c:dLbl>
      </c:pivotFmt>
      <c:pivotFmt>
        <c:idx val="307"/>
        <c:dLbl>
          <c:idx val="0"/>
          <c:showLegendKey val="0"/>
          <c:showVal val="0"/>
          <c:showCatName val="0"/>
          <c:showSerName val="0"/>
          <c:showPercent val="0"/>
          <c:showBubbleSize val="0"/>
          <c:extLst>
            <c:ext xmlns:c15="http://schemas.microsoft.com/office/drawing/2012/chart" uri="{CE6537A1-D6FC-4f65-9D91-7224C49458BB}"/>
          </c:extLst>
        </c:dLbl>
      </c:pivotFmt>
      <c:pivotFmt>
        <c:idx val="308"/>
        <c:dLbl>
          <c:idx val="0"/>
          <c:showLegendKey val="0"/>
          <c:showVal val="0"/>
          <c:showCatName val="0"/>
          <c:showSerName val="0"/>
          <c:showPercent val="0"/>
          <c:showBubbleSize val="0"/>
          <c:extLst>
            <c:ext xmlns:c15="http://schemas.microsoft.com/office/drawing/2012/chart" uri="{CE6537A1-D6FC-4f65-9D91-7224C49458BB}"/>
          </c:extLst>
        </c:dLbl>
      </c:pivotFmt>
      <c:pivotFmt>
        <c:idx val="309"/>
        <c:dLbl>
          <c:idx val="0"/>
          <c:showLegendKey val="0"/>
          <c:showVal val="0"/>
          <c:showCatName val="0"/>
          <c:showSerName val="0"/>
          <c:showPercent val="0"/>
          <c:showBubbleSize val="0"/>
          <c:extLst>
            <c:ext xmlns:c15="http://schemas.microsoft.com/office/drawing/2012/chart" uri="{CE6537A1-D6FC-4f65-9D91-7224C49458BB}"/>
          </c:extLst>
        </c:dLbl>
      </c:pivotFmt>
      <c:pivotFmt>
        <c:idx val="310"/>
        <c:dLbl>
          <c:idx val="0"/>
          <c:showLegendKey val="0"/>
          <c:showVal val="0"/>
          <c:showCatName val="0"/>
          <c:showSerName val="0"/>
          <c:showPercent val="0"/>
          <c:showBubbleSize val="0"/>
          <c:extLst>
            <c:ext xmlns:c15="http://schemas.microsoft.com/office/drawing/2012/chart" uri="{CE6537A1-D6FC-4f65-9D91-7224C49458BB}"/>
          </c:extLst>
        </c:dLbl>
      </c:pivotFmt>
      <c:pivotFmt>
        <c:idx val="311"/>
        <c:dLbl>
          <c:idx val="0"/>
          <c:showLegendKey val="0"/>
          <c:showVal val="0"/>
          <c:showCatName val="0"/>
          <c:showSerName val="0"/>
          <c:showPercent val="0"/>
          <c:showBubbleSize val="0"/>
          <c:extLst>
            <c:ext xmlns:c15="http://schemas.microsoft.com/office/drawing/2012/chart" uri="{CE6537A1-D6FC-4f65-9D91-7224C49458BB}"/>
          </c:extLst>
        </c:dLbl>
      </c:pivotFmt>
      <c:pivotFmt>
        <c:idx val="312"/>
        <c:dLbl>
          <c:idx val="0"/>
          <c:showLegendKey val="0"/>
          <c:showVal val="0"/>
          <c:showCatName val="0"/>
          <c:showSerName val="0"/>
          <c:showPercent val="0"/>
          <c:showBubbleSize val="0"/>
          <c:extLst>
            <c:ext xmlns:c15="http://schemas.microsoft.com/office/drawing/2012/chart" uri="{CE6537A1-D6FC-4f65-9D91-7224C49458BB}"/>
          </c:extLst>
        </c:dLbl>
      </c:pivotFmt>
      <c:pivotFmt>
        <c:idx val="313"/>
        <c:dLbl>
          <c:idx val="0"/>
          <c:showLegendKey val="0"/>
          <c:showVal val="0"/>
          <c:showCatName val="0"/>
          <c:showSerName val="0"/>
          <c:showPercent val="0"/>
          <c:showBubbleSize val="0"/>
          <c:extLst>
            <c:ext xmlns:c15="http://schemas.microsoft.com/office/drawing/2012/chart" uri="{CE6537A1-D6FC-4f65-9D91-7224C49458BB}"/>
          </c:extLst>
        </c:dLbl>
      </c:pivotFmt>
      <c:pivotFmt>
        <c:idx val="314"/>
        <c:dLbl>
          <c:idx val="0"/>
          <c:showLegendKey val="0"/>
          <c:showVal val="0"/>
          <c:showCatName val="0"/>
          <c:showSerName val="0"/>
          <c:showPercent val="0"/>
          <c:showBubbleSize val="0"/>
          <c:extLst>
            <c:ext xmlns:c15="http://schemas.microsoft.com/office/drawing/2012/chart" uri="{CE6537A1-D6FC-4f65-9D91-7224C49458BB}"/>
          </c:extLst>
        </c:dLbl>
      </c:pivotFmt>
      <c:pivotFmt>
        <c:idx val="315"/>
        <c:dLbl>
          <c:idx val="0"/>
          <c:showLegendKey val="0"/>
          <c:showVal val="0"/>
          <c:showCatName val="0"/>
          <c:showSerName val="0"/>
          <c:showPercent val="0"/>
          <c:showBubbleSize val="0"/>
          <c:extLst>
            <c:ext xmlns:c15="http://schemas.microsoft.com/office/drawing/2012/chart" uri="{CE6537A1-D6FC-4f65-9D91-7224C49458BB}"/>
          </c:extLst>
        </c:dLbl>
      </c:pivotFmt>
      <c:pivotFmt>
        <c:idx val="316"/>
        <c:dLbl>
          <c:idx val="0"/>
          <c:showLegendKey val="0"/>
          <c:showVal val="0"/>
          <c:showCatName val="0"/>
          <c:showSerName val="0"/>
          <c:showPercent val="0"/>
          <c:showBubbleSize val="0"/>
          <c:extLst>
            <c:ext xmlns:c15="http://schemas.microsoft.com/office/drawing/2012/chart" uri="{CE6537A1-D6FC-4f65-9D91-7224C49458BB}"/>
          </c:extLst>
        </c:dLbl>
      </c:pivotFmt>
      <c:pivotFmt>
        <c:idx val="317"/>
        <c:dLbl>
          <c:idx val="0"/>
          <c:showLegendKey val="0"/>
          <c:showVal val="0"/>
          <c:showCatName val="0"/>
          <c:showSerName val="0"/>
          <c:showPercent val="0"/>
          <c:showBubbleSize val="0"/>
          <c:extLst>
            <c:ext xmlns:c15="http://schemas.microsoft.com/office/drawing/2012/chart" uri="{CE6537A1-D6FC-4f65-9D91-7224C49458BB}"/>
          </c:extLst>
        </c:dLbl>
      </c:pivotFmt>
      <c:pivotFmt>
        <c:idx val="318"/>
        <c:dLbl>
          <c:idx val="0"/>
          <c:showLegendKey val="0"/>
          <c:showVal val="0"/>
          <c:showCatName val="0"/>
          <c:showSerName val="0"/>
          <c:showPercent val="0"/>
          <c:showBubbleSize val="0"/>
          <c:extLst>
            <c:ext xmlns:c15="http://schemas.microsoft.com/office/drawing/2012/chart" uri="{CE6537A1-D6FC-4f65-9D91-7224C49458BB}"/>
          </c:extLst>
        </c:dLbl>
      </c:pivotFmt>
      <c:pivotFmt>
        <c:idx val="319"/>
        <c:dLbl>
          <c:idx val="0"/>
          <c:showLegendKey val="0"/>
          <c:showVal val="0"/>
          <c:showCatName val="0"/>
          <c:showSerName val="0"/>
          <c:showPercent val="0"/>
          <c:showBubbleSize val="0"/>
          <c:extLst>
            <c:ext xmlns:c15="http://schemas.microsoft.com/office/drawing/2012/chart" uri="{CE6537A1-D6FC-4f65-9D91-7224C49458BB}"/>
          </c:extLst>
        </c:dLbl>
      </c:pivotFmt>
      <c:pivotFmt>
        <c:idx val="320"/>
        <c:dLbl>
          <c:idx val="0"/>
          <c:showLegendKey val="0"/>
          <c:showVal val="0"/>
          <c:showCatName val="0"/>
          <c:showSerName val="0"/>
          <c:showPercent val="0"/>
          <c:showBubbleSize val="0"/>
          <c:extLst>
            <c:ext xmlns:c15="http://schemas.microsoft.com/office/drawing/2012/chart" uri="{CE6537A1-D6FC-4f65-9D91-7224C49458BB}"/>
          </c:extLst>
        </c:dLbl>
      </c:pivotFmt>
      <c:pivotFmt>
        <c:idx val="321"/>
        <c:dLbl>
          <c:idx val="0"/>
          <c:showLegendKey val="0"/>
          <c:showVal val="0"/>
          <c:showCatName val="0"/>
          <c:showSerName val="0"/>
          <c:showPercent val="0"/>
          <c:showBubbleSize val="0"/>
          <c:extLst>
            <c:ext xmlns:c15="http://schemas.microsoft.com/office/drawing/2012/chart" uri="{CE6537A1-D6FC-4f65-9D91-7224C49458BB}"/>
          </c:extLst>
        </c:dLbl>
      </c:pivotFmt>
      <c:pivotFmt>
        <c:idx val="322"/>
        <c:dLbl>
          <c:idx val="0"/>
          <c:showLegendKey val="0"/>
          <c:showVal val="0"/>
          <c:showCatName val="0"/>
          <c:showSerName val="0"/>
          <c:showPercent val="0"/>
          <c:showBubbleSize val="0"/>
          <c:extLst>
            <c:ext xmlns:c15="http://schemas.microsoft.com/office/drawing/2012/chart" uri="{CE6537A1-D6FC-4f65-9D91-7224C49458BB}"/>
          </c:extLst>
        </c:dLbl>
      </c:pivotFmt>
      <c:pivotFmt>
        <c:idx val="323"/>
        <c:dLbl>
          <c:idx val="0"/>
          <c:showLegendKey val="0"/>
          <c:showVal val="0"/>
          <c:showCatName val="0"/>
          <c:showSerName val="0"/>
          <c:showPercent val="0"/>
          <c:showBubbleSize val="0"/>
          <c:extLst>
            <c:ext xmlns:c15="http://schemas.microsoft.com/office/drawing/2012/chart" uri="{CE6537A1-D6FC-4f65-9D91-7224C49458BB}"/>
          </c:extLst>
        </c:dLbl>
      </c:pivotFmt>
      <c:pivotFmt>
        <c:idx val="324"/>
        <c:dLbl>
          <c:idx val="0"/>
          <c:showLegendKey val="0"/>
          <c:showVal val="0"/>
          <c:showCatName val="0"/>
          <c:showSerName val="0"/>
          <c:showPercent val="0"/>
          <c:showBubbleSize val="0"/>
          <c:extLst>
            <c:ext xmlns:c15="http://schemas.microsoft.com/office/drawing/2012/chart" uri="{CE6537A1-D6FC-4f65-9D91-7224C49458BB}"/>
          </c:extLst>
        </c:dLbl>
      </c:pivotFmt>
      <c:pivotFmt>
        <c:idx val="325"/>
        <c:dLbl>
          <c:idx val="0"/>
          <c:showLegendKey val="0"/>
          <c:showVal val="0"/>
          <c:showCatName val="0"/>
          <c:showSerName val="0"/>
          <c:showPercent val="0"/>
          <c:showBubbleSize val="0"/>
          <c:extLst>
            <c:ext xmlns:c15="http://schemas.microsoft.com/office/drawing/2012/chart" uri="{CE6537A1-D6FC-4f65-9D91-7224C49458BB}"/>
          </c:extLst>
        </c:dLbl>
      </c:pivotFmt>
      <c:pivotFmt>
        <c:idx val="326"/>
        <c:dLbl>
          <c:idx val="0"/>
          <c:showLegendKey val="0"/>
          <c:showVal val="0"/>
          <c:showCatName val="0"/>
          <c:showSerName val="0"/>
          <c:showPercent val="0"/>
          <c:showBubbleSize val="0"/>
          <c:extLst>
            <c:ext xmlns:c15="http://schemas.microsoft.com/office/drawing/2012/chart" uri="{CE6537A1-D6FC-4f65-9D91-7224C49458BB}"/>
          </c:extLst>
        </c:dLbl>
      </c:pivotFmt>
      <c:pivotFmt>
        <c:idx val="327"/>
        <c:dLbl>
          <c:idx val="0"/>
          <c:showLegendKey val="0"/>
          <c:showVal val="0"/>
          <c:showCatName val="0"/>
          <c:showSerName val="0"/>
          <c:showPercent val="0"/>
          <c:showBubbleSize val="0"/>
          <c:extLst>
            <c:ext xmlns:c15="http://schemas.microsoft.com/office/drawing/2012/chart" uri="{CE6537A1-D6FC-4f65-9D91-7224C49458BB}"/>
          </c:extLst>
        </c:dLbl>
      </c:pivotFmt>
      <c:pivotFmt>
        <c:idx val="328"/>
        <c:dLbl>
          <c:idx val="0"/>
          <c:showLegendKey val="0"/>
          <c:showVal val="0"/>
          <c:showCatName val="0"/>
          <c:showSerName val="0"/>
          <c:showPercent val="0"/>
          <c:showBubbleSize val="0"/>
          <c:extLst>
            <c:ext xmlns:c15="http://schemas.microsoft.com/office/drawing/2012/chart" uri="{CE6537A1-D6FC-4f65-9D91-7224C49458BB}"/>
          </c:extLst>
        </c:dLbl>
      </c:pivotFmt>
      <c:pivotFmt>
        <c:idx val="329"/>
        <c:dLbl>
          <c:idx val="0"/>
          <c:showLegendKey val="0"/>
          <c:showVal val="0"/>
          <c:showCatName val="0"/>
          <c:showSerName val="0"/>
          <c:showPercent val="0"/>
          <c:showBubbleSize val="0"/>
          <c:extLst>
            <c:ext xmlns:c15="http://schemas.microsoft.com/office/drawing/2012/chart" uri="{CE6537A1-D6FC-4f65-9D91-7224C49458BB}"/>
          </c:extLst>
        </c:dLbl>
      </c:pivotFmt>
      <c:pivotFmt>
        <c:idx val="330"/>
        <c:dLbl>
          <c:idx val="0"/>
          <c:showLegendKey val="0"/>
          <c:showVal val="0"/>
          <c:showCatName val="0"/>
          <c:showSerName val="0"/>
          <c:showPercent val="0"/>
          <c:showBubbleSize val="0"/>
          <c:extLst>
            <c:ext xmlns:c15="http://schemas.microsoft.com/office/drawing/2012/chart" uri="{CE6537A1-D6FC-4f65-9D91-7224C49458BB}"/>
          </c:extLst>
        </c:dLbl>
      </c:pivotFmt>
      <c:pivotFmt>
        <c:idx val="331"/>
        <c:dLbl>
          <c:idx val="0"/>
          <c:showLegendKey val="0"/>
          <c:showVal val="0"/>
          <c:showCatName val="0"/>
          <c:showSerName val="0"/>
          <c:showPercent val="0"/>
          <c:showBubbleSize val="0"/>
          <c:extLst>
            <c:ext xmlns:c15="http://schemas.microsoft.com/office/drawing/2012/chart" uri="{CE6537A1-D6FC-4f65-9D91-7224C49458BB}"/>
          </c:extLst>
        </c:dLbl>
      </c:pivotFmt>
      <c:pivotFmt>
        <c:idx val="332"/>
        <c:dLbl>
          <c:idx val="0"/>
          <c:showLegendKey val="0"/>
          <c:showVal val="0"/>
          <c:showCatName val="0"/>
          <c:showSerName val="0"/>
          <c:showPercent val="0"/>
          <c:showBubbleSize val="0"/>
          <c:extLst>
            <c:ext xmlns:c15="http://schemas.microsoft.com/office/drawing/2012/chart" uri="{CE6537A1-D6FC-4f65-9D91-7224C49458BB}"/>
          </c:extLst>
        </c:dLbl>
      </c:pivotFmt>
      <c:pivotFmt>
        <c:idx val="333"/>
        <c:dLbl>
          <c:idx val="0"/>
          <c:showLegendKey val="0"/>
          <c:showVal val="0"/>
          <c:showCatName val="0"/>
          <c:showSerName val="0"/>
          <c:showPercent val="0"/>
          <c:showBubbleSize val="0"/>
          <c:extLst>
            <c:ext xmlns:c15="http://schemas.microsoft.com/office/drawing/2012/chart" uri="{CE6537A1-D6FC-4f65-9D91-7224C49458BB}"/>
          </c:extLst>
        </c:dLbl>
      </c:pivotFmt>
      <c:pivotFmt>
        <c:idx val="334"/>
        <c:dLbl>
          <c:idx val="0"/>
          <c:showLegendKey val="0"/>
          <c:showVal val="0"/>
          <c:showCatName val="0"/>
          <c:showSerName val="0"/>
          <c:showPercent val="0"/>
          <c:showBubbleSize val="0"/>
          <c:extLst>
            <c:ext xmlns:c15="http://schemas.microsoft.com/office/drawing/2012/chart" uri="{CE6537A1-D6FC-4f65-9D91-7224C49458BB}"/>
          </c:extLst>
        </c:dLbl>
      </c:pivotFmt>
      <c:pivotFmt>
        <c:idx val="335"/>
        <c:dLbl>
          <c:idx val="0"/>
          <c:showLegendKey val="0"/>
          <c:showVal val="0"/>
          <c:showCatName val="0"/>
          <c:showSerName val="0"/>
          <c:showPercent val="0"/>
          <c:showBubbleSize val="0"/>
          <c:extLst>
            <c:ext xmlns:c15="http://schemas.microsoft.com/office/drawing/2012/chart" uri="{CE6537A1-D6FC-4f65-9D91-7224C49458BB}"/>
          </c:extLst>
        </c:dLbl>
      </c:pivotFmt>
      <c:pivotFmt>
        <c:idx val="336"/>
        <c:dLbl>
          <c:idx val="0"/>
          <c:showLegendKey val="0"/>
          <c:showVal val="0"/>
          <c:showCatName val="0"/>
          <c:showSerName val="0"/>
          <c:showPercent val="0"/>
          <c:showBubbleSize val="0"/>
          <c:extLst>
            <c:ext xmlns:c15="http://schemas.microsoft.com/office/drawing/2012/chart" uri="{CE6537A1-D6FC-4f65-9D91-7224C49458BB}"/>
          </c:extLst>
        </c:dLbl>
      </c:pivotFmt>
      <c:pivotFmt>
        <c:idx val="337"/>
        <c:dLbl>
          <c:idx val="0"/>
          <c:showLegendKey val="0"/>
          <c:showVal val="0"/>
          <c:showCatName val="0"/>
          <c:showSerName val="0"/>
          <c:showPercent val="0"/>
          <c:showBubbleSize val="0"/>
          <c:extLst>
            <c:ext xmlns:c15="http://schemas.microsoft.com/office/drawing/2012/chart" uri="{CE6537A1-D6FC-4f65-9D91-7224C49458BB}"/>
          </c:extLst>
        </c:dLbl>
      </c:pivotFmt>
      <c:pivotFmt>
        <c:idx val="338"/>
        <c:dLbl>
          <c:idx val="0"/>
          <c:showLegendKey val="0"/>
          <c:showVal val="0"/>
          <c:showCatName val="0"/>
          <c:showSerName val="0"/>
          <c:showPercent val="0"/>
          <c:showBubbleSize val="0"/>
          <c:extLst>
            <c:ext xmlns:c15="http://schemas.microsoft.com/office/drawing/2012/chart" uri="{CE6537A1-D6FC-4f65-9D91-7224C49458BB}"/>
          </c:extLst>
        </c:dLbl>
      </c:pivotFmt>
      <c:pivotFmt>
        <c:idx val="339"/>
        <c:dLbl>
          <c:idx val="0"/>
          <c:showLegendKey val="0"/>
          <c:showVal val="0"/>
          <c:showCatName val="0"/>
          <c:showSerName val="0"/>
          <c:showPercent val="0"/>
          <c:showBubbleSize val="0"/>
          <c:extLst>
            <c:ext xmlns:c15="http://schemas.microsoft.com/office/drawing/2012/chart" uri="{CE6537A1-D6FC-4f65-9D91-7224C49458BB}"/>
          </c:extLst>
        </c:dLbl>
      </c:pivotFmt>
      <c:pivotFmt>
        <c:idx val="340"/>
      </c:pivotFmt>
      <c:pivotFmt>
        <c:idx val="341"/>
        <c:dLbl>
          <c:idx val="0"/>
          <c:showLegendKey val="0"/>
          <c:showVal val="0"/>
          <c:showCatName val="0"/>
          <c:showSerName val="0"/>
          <c:showPercent val="0"/>
          <c:showBubbleSize val="0"/>
          <c:extLst>
            <c:ext xmlns:c15="http://schemas.microsoft.com/office/drawing/2012/chart" uri="{CE6537A1-D6FC-4f65-9D91-7224C49458BB}"/>
          </c:extLst>
        </c:dLbl>
      </c:pivotFmt>
      <c:pivotFmt>
        <c:idx val="342"/>
        <c:dLbl>
          <c:idx val="0"/>
          <c:showLegendKey val="0"/>
          <c:showVal val="0"/>
          <c:showCatName val="0"/>
          <c:showSerName val="0"/>
          <c:showPercent val="0"/>
          <c:showBubbleSize val="0"/>
          <c:extLst>
            <c:ext xmlns:c15="http://schemas.microsoft.com/office/drawing/2012/chart" uri="{CE6537A1-D6FC-4f65-9D91-7224C49458BB}"/>
          </c:extLst>
        </c:dLbl>
      </c:pivotFmt>
      <c:pivotFmt>
        <c:idx val="343"/>
        <c:dLbl>
          <c:idx val="0"/>
          <c:showLegendKey val="0"/>
          <c:showVal val="0"/>
          <c:showCatName val="0"/>
          <c:showSerName val="0"/>
          <c:showPercent val="0"/>
          <c:showBubbleSize val="0"/>
          <c:extLst>
            <c:ext xmlns:c15="http://schemas.microsoft.com/office/drawing/2012/chart" uri="{CE6537A1-D6FC-4f65-9D91-7224C49458BB}"/>
          </c:extLst>
        </c:dLbl>
      </c:pivotFmt>
      <c:pivotFmt>
        <c:idx val="344"/>
        <c:dLbl>
          <c:idx val="0"/>
          <c:showLegendKey val="0"/>
          <c:showVal val="0"/>
          <c:showCatName val="0"/>
          <c:showSerName val="0"/>
          <c:showPercent val="0"/>
          <c:showBubbleSize val="0"/>
          <c:extLst>
            <c:ext xmlns:c15="http://schemas.microsoft.com/office/drawing/2012/chart" uri="{CE6537A1-D6FC-4f65-9D91-7224C49458BB}"/>
          </c:extLst>
        </c:dLbl>
      </c:pivotFmt>
      <c:pivotFmt>
        <c:idx val="345"/>
        <c:dLbl>
          <c:idx val="0"/>
          <c:showLegendKey val="0"/>
          <c:showVal val="0"/>
          <c:showCatName val="0"/>
          <c:showSerName val="0"/>
          <c:showPercent val="0"/>
          <c:showBubbleSize val="0"/>
          <c:extLst>
            <c:ext xmlns:c15="http://schemas.microsoft.com/office/drawing/2012/chart" uri="{CE6537A1-D6FC-4f65-9D91-7224C49458BB}"/>
          </c:extLst>
        </c:dLbl>
      </c:pivotFmt>
      <c:pivotFmt>
        <c:idx val="346"/>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4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4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5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5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5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s>
    <c:view3D>
      <c:rotX val="15"/>
      <c:rotY val="20"/>
      <c:depthPercent val="100"/>
      <c:rAngAx val="0"/>
    </c:view3D>
    <c:floor>
      <c:thickness val="0"/>
      <c:spPr>
        <a:noFill/>
        <a:ln w="9525" cap="flat" cmpd="sng" algn="ctr">
          <a:solidFill>
            <a:schemeClr val="dk1">
              <a:lumMod val="50000"/>
              <a:lumOff val="50000"/>
            </a:schemeClr>
          </a:solidFill>
          <a:round/>
        </a:ln>
        <a:effectLst/>
        <a:sp3d contourW="9525">
          <a:contourClr>
            <a:schemeClr val="dk1">
              <a:lumMod val="50000"/>
              <a:lumOff val="50000"/>
            </a:schemeClr>
          </a:contourClr>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710261578446879E-2"/>
          <c:y val="0.21629742313328001"/>
          <c:w val="0.47540432688639056"/>
          <c:h val="0.60741471056559204"/>
        </c:manualLayout>
      </c:layout>
      <c:area3DChart>
        <c:grouping val="standard"/>
        <c:varyColors val="0"/>
        <c:ser>
          <c:idx val="0"/>
          <c:order val="0"/>
          <c:tx>
            <c:v>Junior - Sum of Total_Annual_Salary_USD</c:v>
          </c:tx>
          <c:spPr>
            <a:gradFill rotWithShape="1">
              <a:gsLst>
                <a:gs pos="0">
                  <a:schemeClr val="accent6">
                    <a:tint val="50000"/>
                    <a:satMod val="103000"/>
                    <a:lumMod val="102000"/>
                    <a:tint val="94000"/>
                  </a:schemeClr>
                </a:gs>
                <a:gs pos="50000">
                  <a:schemeClr val="accent6">
                    <a:tint val="50000"/>
                    <a:satMod val="110000"/>
                    <a:lumMod val="100000"/>
                    <a:shade val="100000"/>
                  </a:schemeClr>
                </a:gs>
                <a:gs pos="100000">
                  <a:schemeClr val="accent6">
                    <a:tint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655890</c:v>
              </c:pt>
              <c:pt idx="1">
                <c:v>380760</c:v>
              </c:pt>
              <c:pt idx="2">
                <c:v>320220</c:v>
              </c:pt>
              <c:pt idx="3">
                <c:v>300450</c:v>
              </c:pt>
              <c:pt idx="4">
                <c:v>372450</c:v>
              </c:pt>
            </c:numLit>
          </c:val>
          <c:extLst>
            <c:ext xmlns:c16="http://schemas.microsoft.com/office/drawing/2014/chart" uri="{C3380CC4-5D6E-409C-BE32-E72D297353CC}">
              <c16:uniqueId val="{00000000-873E-43EA-87C1-6E334D64D41D}"/>
            </c:ext>
          </c:extLst>
        </c:ser>
        <c:ser>
          <c:idx val="1"/>
          <c:order val="1"/>
          <c:tx>
            <c:v>Junior - Sum of YOE (Years)</c:v>
          </c:tx>
          <c:spPr>
            <a:gradFill rotWithShape="1">
              <a:gsLst>
                <a:gs pos="0">
                  <a:schemeClr val="accent6">
                    <a:tint val="70000"/>
                    <a:satMod val="103000"/>
                    <a:lumMod val="102000"/>
                    <a:tint val="94000"/>
                  </a:schemeClr>
                </a:gs>
                <a:gs pos="50000">
                  <a:schemeClr val="accent6">
                    <a:tint val="70000"/>
                    <a:satMod val="110000"/>
                    <a:lumMod val="100000"/>
                    <a:shade val="100000"/>
                  </a:schemeClr>
                </a:gs>
                <a:gs pos="100000">
                  <a:schemeClr val="accent6">
                    <a:tint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15</c:v>
              </c:pt>
              <c:pt idx="1">
                <c:v>11</c:v>
              </c:pt>
              <c:pt idx="2">
                <c:v>11</c:v>
              </c:pt>
              <c:pt idx="3">
                <c:v>9</c:v>
              </c:pt>
              <c:pt idx="4">
                <c:v>13</c:v>
              </c:pt>
            </c:numLit>
          </c:val>
          <c:extLst>
            <c:ext xmlns:c16="http://schemas.microsoft.com/office/drawing/2014/chart" uri="{C3380CC4-5D6E-409C-BE32-E72D297353CC}">
              <c16:uniqueId val="{00000001-873E-43EA-87C1-6E334D64D41D}"/>
            </c:ext>
          </c:extLst>
        </c:ser>
        <c:ser>
          <c:idx val="2"/>
          <c:order val="2"/>
          <c:tx>
            <c:v>Mid - Sum of Total_Annual_Salary_USD</c:v>
          </c:tx>
          <c:spPr>
            <a:gradFill rotWithShape="1">
              <a:gsLst>
                <a:gs pos="0">
                  <a:schemeClr val="accent6">
                    <a:tint val="90000"/>
                    <a:satMod val="103000"/>
                    <a:lumMod val="102000"/>
                    <a:tint val="94000"/>
                  </a:schemeClr>
                </a:gs>
                <a:gs pos="50000">
                  <a:schemeClr val="accent6">
                    <a:tint val="90000"/>
                    <a:satMod val="110000"/>
                    <a:lumMod val="100000"/>
                    <a:shade val="100000"/>
                  </a:schemeClr>
                </a:gs>
                <a:gs pos="100000">
                  <a:schemeClr val="accent6">
                    <a:tint val="9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964910</c:v>
              </c:pt>
              <c:pt idx="1">
                <c:v>580610</c:v>
              </c:pt>
              <c:pt idx="2">
                <c:v>380280</c:v>
              </c:pt>
              <c:pt idx="3">
                <c:v>494040</c:v>
              </c:pt>
              <c:pt idx="4">
                <c:v>613720</c:v>
              </c:pt>
            </c:numLit>
          </c:val>
          <c:extLst>
            <c:ext xmlns:c16="http://schemas.microsoft.com/office/drawing/2014/chart" uri="{C3380CC4-5D6E-409C-BE32-E72D297353CC}">
              <c16:uniqueId val="{00000002-873E-43EA-87C1-6E334D64D41D}"/>
            </c:ext>
          </c:extLst>
        </c:ser>
        <c:ser>
          <c:idx val="3"/>
          <c:order val="3"/>
          <c:tx>
            <c:v>Mid - Sum of YOE (Years)</c:v>
          </c:tx>
          <c:spPr>
            <a:gradFill rotWithShape="1">
              <a:gsLst>
                <a:gs pos="0">
                  <a:schemeClr val="accent6">
                    <a:shade val="90000"/>
                    <a:satMod val="103000"/>
                    <a:lumMod val="102000"/>
                    <a:tint val="94000"/>
                  </a:schemeClr>
                </a:gs>
                <a:gs pos="50000">
                  <a:schemeClr val="accent6">
                    <a:shade val="90000"/>
                    <a:satMod val="110000"/>
                    <a:lumMod val="100000"/>
                    <a:shade val="100000"/>
                  </a:schemeClr>
                </a:gs>
                <a:gs pos="100000">
                  <a:schemeClr val="accent6">
                    <a:shade val="9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50</c:v>
              </c:pt>
              <c:pt idx="1">
                <c:v>33</c:v>
              </c:pt>
              <c:pt idx="2">
                <c:v>26</c:v>
              </c:pt>
              <c:pt idx="3">
                <c:v>28</c:v>
              </c:pt>
              <c:pt idx="4">
                <c:v>39</c:v>
              </c:pt>
            </c:numLit>
          </c:val>
          <c:extLst>
            <c:ext xmlns:c16="http://schemas.microsoft.com/office/drawing/2014/chart" uri="{C3380CC4-5D6E-409C-BE32-E72D297353CC}">
              <c16:uniqueId val="{00000003-873E-43EA-87C1-6E334D64D41D}"/>
            </c:ext>
          </c:extLst>
        </c:ser>
        <c:ser>
          <c:idx val="4"/>
          <c:order val="4"/>
          <c:tx>
            <c:v>Senior - Sum of Total_Annual_Salary_USD</c:v>
          </c:tx>
          <c:spPr>
            <a:gradFill rotWithShape="1">
              <a:gsLst>
                <a:gs pos="0">
                  <a:schemeClr val="accent6">
                    <a:shade val="70000"/>
                    <a:satMod val="103000"/>
                    <a:lumMod val="102000"/>
                    <a:tint val="94000"/>
                  </a:schemeClr>
                </a:gs>
                <a:gs pos="50000">
                  <a:schemeClr val="accent6">
                    <a:shade val="70000"/>
                    <a:satMod val="110000"/>
                    <a:lumMod val="100000"/>
                    <a:shade val="100000"/>
                  </a:schemeClr>
                </a:gs>
                <a:gs pos="100000">
                  <a:schemeClr val="accent6">
                    <a:shade val="7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1635900</c:v>
              </c:pt>
              <c:pt idx="1">
                <c:v>832920</c:v>
              </c:pt>
              <c:pt idx="2">
                <c:v>718560</c:v>
              </c:pt>
              <c:pt idx="3">
                <c:v>854630</c:v>
              </c:pt>
              <c:pt idx="4">
                <c:v>831940</c:v>
              </c:pt>
            </c:numLit>
          </c:val>
          <c:extLst>
            <c:ext xmlns:c16="http://schemas.microsoft.com/office/drawing/2014/chart" uri="{C3380CC4-5D6E-409C-BE32-E72D297353CC}">
              <c16:uniqueId val="{00000004-873E-43EA-87C1-6E334D64D41D}"/>
            </c:ext>
          </c:extLst>
        </c:ser>
        <c:ser>
          <c:idx val="5"/>
          <c:order val="5"/>
          <c:tx>
            <c:v>Senior - Sum of YOE (Years)</c:v>
          </c:tx>
          <c:spPr>
            <a:gradFill rotWithShape="1">
              <a:gsLst>
                <a:gs pos="0">
                  <a:schemeClr val="accent6">
                    <a:shade val="50000"/>
                    <a:satMod val="103000"/>
                    <a:lumMod val="102000"/>
                    <a:tint val="94000"/>
                  </a:schemeClr>
                </a:gs>
                <a:gs pos="50000">
                  <a:schemeClr val="accent6">
                    <a:shade val="50000"/>
                    <a:satMod val="110000"/>
                    <a:lumMod val="100000"/>
                    <a:shade val="100000"/>
                  </a:schemeClr>
                </a:gs>
                <a:gs pos="100000">
                  <a:schemeClr val="accent6">
                    <a:shade val="5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cat>
            <c:strLit>
              <c:ptCount val="5"/>
              <c:pt idx="0">
                <c:v>Engineering</c:v>
              </c:pt>
              <c:pt idx="1">
                <c:v>Finance</c:v>
              </c:pt>
              <c:pt idx="2">
                <c:v>HR</c:v>
              </c:pt>
              <c:pt idx="3">
                <c:v>Marketing</c:v>
              </c:pt>
              <c:pt idx="4">
                <c:v>Sales</c:v>
              </c:pt>
            </c:strLit>
          </c:cat>
          <c:val>
            <c:numLit>
              <c:formatCode>General</c:formatCode>
              <c:ptCount val="5"/>
              <c:pt idx="0">
                <c:v>103</c:v>
              </c:pt>
              <c:pt idx="1">
                <c:v>64</c:v>
              </c:pt>
              <c:pt idx="2">
                <c:v>68</c:v>
              </c:pt>
              <c:pt idx="3">
                <c:v>65</c:v>
              </c:pt>
              <c:pt idx="4">
                <c:v>67</c:v>
              </c:pt>
            </c:numLit>
          </c:val>
          <c:extLst>
            <c:ext xmlns:c16="http://schemas.microsoft.com/office/drawing/2014/chart" uri="{C3380CC4-5D6E-409C-BE32-E72D297353CC}">
              <c16:uniqueId val="{00000005-873E-43EA-87C1-6E334D64D41D}"/>
            </c:ext>
          </c:extLst>
        </c:ser>
        <c:dLbls>
          <c:showLegendKey val="0"/>
          <c:showVal val="0"/>
          <c:showCatName val="0"/>
          <c:showSerName val="0"/>
          <c:showPercent val="0"/>
          <c:showBubbleSize val="0"/>
        </c:dLbls>
        <c:axId val="344659552"/>
        <c:axId val="344665312"/>
        <c:axId val="1165811024"/>
      </c:area3DChart>
      <c:catAx>
        <c:axId val="344659552"/>
        <c:scaling>
          <c:orientation val="minMax"/>
        </c:scaling>
        <c:delete val="0"/>
        <c:axPos val="b"/>
        <c:numFmt formatCode="General" sourceLinked="0"/>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665312"/>
        <c:crosses val="autoZero"/>
        <c:auto val="1"/>
        <c:lblAlgn val="ctr"/>
        <c:lblOffset val="100"/>
        <c:noMultiLvlLbl val="0"/>
        <c:extLst>
          <c:ext xmlns:c15="http://schemas.microsoft.com/office/drawing/2012/chart" uri="{F40574EE-89B7-4290-83BB-5DA773EAF853}">
            <c15:numFmt c:formatCode="General" c:sourceLinked="1"/>
          </c:ext>
        </c:extLst>
      </c:catAx>
      <c:valAx>
        <c:axId val="34466531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659552"/>
        <c:crosses val="autoZero"/>
        <c:crossBetween val="midCat"/>
        <c:extLst>
          <c:ext xmlns:c15="http://schemas.microsoft.com/office/drawing/2012/chart" uri="{F40574EE-89B7-4290-83BB-5DA773EAF853}">
            <c15:numFmt c:formatCode="General" c:sourceLinked="1"/>
          </c:ext>
        </c:extLst>
      </c:valAx>
      <c:serAx>
        <c:axId val="1165811024"/>
        <c:scaling>
          <c:orientation val="minMax"/>
        </c:scaling>
        <c:delete val="1"/>
        <c:axPos val="b"/>
        <c:majorTickMark val="out"/>
        <c:minorTickMark val="none"/>
        <c:tickLblPos val="nextTo"/>
        <c:crossAx val="344665312"/>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scene3d>
      <a:camera prst="orthographicFront"/>
      <a:lightRig rig="threePt" dir="t"/>
    </a:scene3d>
    <a:sp3d>
      <a:bevelT/>
    </a:sp3d>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[Employee Performance and Payroll project.xlsm]PivotChartTable7</c15:name>
        <c15:fmtId val="2"/>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[Employee Performance and Payroll project.xlsm]Sum of salary!PivotTable9</c:name>
    <c:fmtId val="9"/>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dk1"/>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3"/>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4"/>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5"/>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6"/>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7"/>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9"/>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0"/>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1"/>
        <c:dLbl>
          <c:idx val="0"/>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6"/>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7"/>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8"/>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accent6">
              <a:shade val="53000"/>
            </a:schemeClr>
          </a:solidFill>
          <a:ln>
            <a:noFill/>
          </a:ln>
          <a:effectLst>
            <a:outerShdw blurRad="63500" sx="102000" sy="102000" algn="ctr" rotWithShape="0">
              <a:prstClr val="black">
                <a:alpha val="20000"/>
              </a:prstClr>
            </a:outerShdw>
          </a:effectLst>
        </c:spPr>
      </c:pivotFmt>
      <c:pivotFmt>
        <c:idx val="26"/>
        <c:spPr>
          <a:solidFill>
            <a:schemeClr val="accent6">
              <a:shade val="76000"/>
            </a:schemeClr>
          </a:solidFill>
          <a:ln>
            <a:noFill/>
          </a:ln>
          <a:effectLst>
            <a:outerShdw blurRad="63500" sx="102000" sy="102000" algn="ctr" rotWithShape="0">
              <a:prstClr val="black">
                <a:alpha val="20000"/>
              </a:prstClr>
            </a:outerShdw>
          </a:effectLst>
        </c:spPr>
      </c:pivotFmt>
      <c:pivotFmt>
        <c:idx val="27"/>
        <c:spPr>
          <a:solidFill>
            <a:schemeClr val="accent6"/>
          </a:solidFill>
          <a:ln>
            <a:noFill/>
          </a:ln>
          <a:effectLst>
            <a:outerShdw blurRad="63500" sx="102000" sy="102000" algn="ctr" rotWithShape="0">
              <a:prstClr val="black">
                <a:alpha val="20000"/>
              </a:prstClr>
            </a:outerShdw>
          </a:effectLst>
        </c:spPr>
      </c:pivotFmt>
      <c:pivotFmt>
        <c:idx val="28"/>
        <c:spPr>
          <a:solidFill>
            <a:schemeClr val="accent6">
              <a:tint val="77000"/>
            </a:schemeClr>
          </a:solidFill>
          <a:ln>
            <a:noFill/>
          </a:ln>
          <a:effectLst>
            <a:outerShdw blurRad="63500" sx="102000" sy="102000" algn="ctr" rotWithShape="0">
              <a:prstClr val="black">
                <a:alpha val="20000"/>
              </a:prstClr>
            </a:outerShdw>
          </a:effectLst>
        </c:spPr>
      </c:pivotFmt>
      <c:pivotFmt>
        <c:idx val="29"/>
        <c:spPr>
          <a:solidFill>
            <a:schemeClr val="accent6">
              <a:tint val="54000"/>
            </a:schemeClr>
          </a:solidFill>
          <a:ln>
            <a:noFill/>
          </a:ln>
          <a:effectLst>
            <a:outerShdw blurRad="63500" sx="102000" sy="102000" algn="ctr" rotWithShape="0">
              <a:prstClr val="black">
                <a:alpha val="20000"/>
              </a:prstClr>
            </a:outerShdw>
          </a:effectLst>
        </c:spPr>
      </c:pivotFmt>
      <c:pivotFmt>
        <c:idx val="3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1"/>
        <c:spPr>
          <a:solidFill>
            <a:schemeClr val="accent6">
              <a:shade val="53000"/>
            </a:schemeClr>
          </a:solidFill>
          <a:ln>
            <a:noFill/>
          </a:ln>
          <a:effectLst>
            <a:outerShdw blurRad="63500" sx="102000" sy="102000" algn="ctr" rotWithShape="0">
              <a:prstClr val="black">
                <a:alpha val="20000"/>
              </a:prstClr>
            </a:outerShdw>
          </a:effectLst>
        </c:spPr>
      </c:pivotFmt>
      <c:pivotFmt>
        <c:idx val="32"/>
        <c:spPr>
          <a:solidFill>
            <a:schemeClr val="accent6">
              <a:shade val="76000"/>
            </a:schemeClr>
          </a:solidFill>
          <a:ln>
            <a:noFill/>
          </a:ln>
          <a:effectLst>
            <a:outerShdw blurRad="63500" sx="102000" sy="102000" algn="ctr" rotWithShape="0">
              <a:prstClr val="black">
                <a:alpha val="20000"/>
              </a:prstClr>
            </a:outerShdw>
          </a:effectLst>
        </c:spPr>
      </c:pivotFmt>
      <c:pivotFmt>
        <c:idx val="33"/>
        <c:spPr>
          <a:solidFill>
            <a:schemeClr val="accent6"/>
          </a:solidFill>
          <a:ln>
            <a:noFill/>
          </a:ln>
          <a:effectLst>
            <a:outerShdw blurRad="63500" sx="102000" sy="102000" algn="ctr" rotWithShape="0">
              <a:prstClr val="black">
                <a:alpha val="20000"/>
              </a:prstClr>
            </a:outerShdw>
          </a:effectLst>
        </c:spPr>
      </c:pivotFmt>
      <c:pivotFmt>
        <c:idx val="34"/>
        <c:spPr>
          <a:solidFill>
            <a:schemeClr val="accent6">
              <a:tint val="77000"/>
            </a:schemeClr>
          </a:solidFill>
          <a:ln>
            <a:noFill/>
          </a:ln>
          <a:effectLst>
            <a:outerShdw blurRad="63500" sx="102000" sy="102000" algn="ctr" rotWithShape="0">
              <a:prstClr val="black">
                <a:alpha val="20000"/>
              </a:prstClr>
            </a:outerShdw>
          </a:effectLst>
        </c:spPr>
      </c:pivotFmt>
      <c:pivotFmt>
        <c:idx val="35"/>
        <c:spPr>
          <a:solidFill>
            <a:schemeClr val="accent6">
              <a:tint val="54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'Sum of salary'!$B$1</c:f>
              <c:strCache>
                <c:ptCount val="1"/>
                <c:pt idx="0">
                  <c:v>Sum of Bonas_Salary</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6E5-4C81-92DB-58BAF6FA69D8}"/>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6E5-4C81-92DB-58BAF6FA69D8}"/>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6E5-4C81-92DB-58BAF6FA69D8}"/>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6E5-4C81-92DB-58BAF6FA69D8}"/>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6E5-4C81-92DB-58BAF6FA69D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 of salary'!$A$2:$A$7</c:f>
              <c:strCache>
                <c:ptCount val="5"/>
                <c:pt idx="0">
                  <c:v>Engineering</c:v>
                </c:pt>
                <c:pt idx="1">
                  <c:v>Finance</c:v>
                </c:pt>
                <c:pt idx="2">
                  <c:v>HR</c:v>
                </c:pt>
                <c:pt idx="3">
                  <c:v>Marketing</c:v>
                </c:pt>
                <c:pt idx="4">
                  <c:v>Sales</c:v>
                </c:pt>
              </c:strCache>
            </c:strRef>
          </c:cat>
          <c:val>
            <c:numRef>
              <c:f>'Sum of salary'!$B$2:$B$7</c:f>
              <c:numCache>
                <c:formatCode>General</c:formatCode>
                <c:ptCount val="5"/>
                <c:pt idx="0">
                  <c:v>211060</c:v>
                </c:pt>
                <c:pt idx="1">
                  <c:v>68200</c:v>
                </c:pt>
                <c:pt idx="2">
                  <c:v>39600</c:v>
                </c:pt>
                <c:pt idx="3">
                  <c:v>64700</c:v>
                </c:pt>
                <c:pt idx="4">
                  <c:v>82790</c:v>
                </c:pt>
              </c:numCache>
            </c:numRef>
          </c:val>
          <c:extLst>
            <c:ext xmlns:c16="http://schemas.microsoft.com/office/drawing/2014/chart" uri="{C3380CC4-5D6E-409C-BE32-E72D297353CC}">
              <c16:uniqueId val="{0000000A-C6E5-4C81-92DB-58BAF6FA69D8}"/>
            </c:ext>
          </c:extLst>
        </c:ser>
        <c:ser>
          <c:idx val="1"/>
          <c:order val="1"/>
          <c:tx>
            <c:strRef>
              <c:f>'Sum of salary'!$C$1</c:f>
              <c:strCache>
                <c:ptCount val="1"/>
                <c:pt idx="0">
                  <c:v>Sum of Total_Annual_Salary_USD</c:v>
                </c:pt>
              </c:strCache>
            </c:strRef>
          </c:tx>
          <c:dPt>
            <c:idx val="0"/>
            <c:bubble3D val="0"/>
            <c:spPr>
              <a:solidFill>
                <a:schemeClr val="accent6">
                  <a:shade val="53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C-C6E5-4C81-92DB-58BAF6FA69D8}"/>
              </c:ext>
            </c:extLst>
          </c:dPt>
          <c:dPt>
            <c:idx val="1"/>
            <c:bubble3D val="0"/>
            <c:spPr>
              <a:solidFill>
                <a:schemeClr val="accent6">
                  <a:shade val="76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E-C6E5-4C81-92DB-58BAF6FA69D8}"/>
              </c:ext>
            </c:extLst>
          </c:dPt>
          <c:dPt>
            <c:idx val="2"/>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0-C6E5-4C81-92DB-58BAF6FA69D8}"/>
              </c:ext>
            </c:extLst>
          </c:dPt>
          <c:dPt>
            <c:idx val="3"/>
            <c:bubble3D val="0"/>
            <c:spPr>
              <a:solidFill>
                <a:schemeClr val="accent6">
                  <a:tint val="77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2-C6E5-4C81-92DB-58BAF6FA69D8}"/>
              </c:ext>
            </c:extLst>
          </c:dPt>
          <c:dPt>
            <c:idx val="4"/>
            <c:bubble3D val="0"/>
            <c:spPr>
              <a:solidFill>
                <a:schemeClr val="accent6">
                  <a:tint val="54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4-C6E5-4C81-92DB-58BAF6FA69D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dk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 of salary'!$A$2:$A$7</c:f>
              <c:strCache>
                <c:ptCount val="5"/>
                <c:pt idx="0">
                  <c:v>Engineering</c:v>
                </c:pt>
                <c:pt idx="1">
                  <c:v>Finance</c:v>
                </c:pt>
                <c:pt idx="2">
                  <c:v>HR</c:v>
                </c:pt>
                <c:pt idx="3">
                  <c:v>Marketing</c:v>
                </c:pt>
                <c:pt idx="4">
                  <c:v>Sales</c:v>
                </c:pt>
              </c:strCache>
            </c:strRef>
          </c:cat>
          <c:val>
            <c:numRef>
              <c:f>'Sum of salary'!$C$2:$C$7</c:f>
              <c:numCache>
                <c:formatCode>#,##0</c:formatCode>
                <c:ptCount val="5"/>
                <c:pt idx="0">
                  <c:v>1221060</c:v>
                </c:pt>
                <c:pt idx="1">
                  <c:v>409200</c:v>
                </c:pt>
                <c:pt idx="2">
                  <c:v>259600</c:v>
                </c:pt>
                <c:pt idx="3">
                  <c:v>384700</c:v>
                </c:pt>
                <c:pt idx="4">
                  <c:v>463790</c:v>
                </c:pt>
              </c:numCache>
            </c:numRef>
          </c:val>
          <c:extLst>
            <c:ext xmlns:c16="http://schemas.microsoft.com/office/drawing/2014/chart" uri="{C3380CC4-5D6E-409C-BE32-E72D297353CC}">
              <c16:uniqueId val="{00000015-C6E5-4C81-92DB-58BAF6FA69D8}"/>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5018817563058857"/>
          <c:y val="4.7159333081863139E-2"/>
          <c:w val="0.14297873617948165"/>
          <c:h val="0.3724111083966423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dk1">
            <a:lumMod val="110000"/>
            <a:satMod val="105000"/>
            <a:tint val="67000"/>
          </a:schemeClr>
        </a:gs>
        <a:gs pos="50000">
          <a:schemeClr val="dk1">
            <a:lumMod val="105000"/>
            <a:satMod val="103000"/>
            <a:tint val="73000"/>
          </a:schemeClr>
        </a:gs>
        <a:gs pos="100000">
          <a:schemeClr val="dk1">
            <a:lumMod val="105000"/>
            <a:satMod val="109000"/>
            <a:tint val="81000"/>
          </a:schemeClr>
        </a:gs>
      </a:gsLst>
      <a:lin ang="5400000" scaled="0"/>
    </a:gra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15">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spPr>
      <a:ln w="9525" cap="flat" cmpd="sng" algn="ctr">
        <a:solidFill>
          <a:schemeClr val="dk1">
            <a:lumMod val="50000"/>
            <a:lumOff val="50000"/>
          </a:schemeClr>
        </a:solidFill>
        <a:round/>
      </a:ln>
    </cs:spPr>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svg"/><Relationship Id="rId3" Type="http://schemas.openxmlformats.org/officeDocument/2006/relationships/chart" Target="../charts/chart4.xml"/><Relationship Id="rId7" Type="http://schemas.openxmlformats.org/officeDocument/2006/relationships/image" Target="../media/image4.svg"/><Relationship Id="rId12" Type="http://schemas.openxmlformats.org/officeDocument/2006/relationships/image" Target="../media/image9.png"/><Relationship Id="rId2" Type="http://schemas.openxmlformats.org/officeDocument/2006/relationships/chart" Target="../charts/chart3.xml"/><Relationship Id="rId16" Type="http://schemas.openxmlformats.org/officeDocument/2006/relationships/chart" Target="../charts/chart5.xml"/><Relationship Id="rId1" Type="http://schemas.openxmlformats.org/officeDocument/2006/relationships/chart" Target="../charts/chart2.xml"/><Relationship Id="rId6" Type="http://schemas.openxmlformats.org/officeDocument/2006/relationships/image" Target="../media/image3.png"/><Relationship Id="rId11" Type="http://schemas.openxmlformats.org/officeDocument/2006/relationships/image" Target="../media/image8.svg"/><Relationship Id="rId5" Type="http://schemas.openxmlformats.org/officeDocument/2006/relationships/image" Target="../media/image2.svg"/><Relationship Id="rId15" Type="http://schemas.openxmlformats.org/officeDocument/2006/relationships/image" Target="../media/image12.svg"/><Relationship Id="rId10" Type="http://schemas.openxmlformats.org/officeDocument/2006/relationships/image" Target="../media/image7.png"/><Relationship Id="rId4" Type="http://schemas.openxmlformats.org/officeDocument/2006/relationships/image" Target="../media/image1.png"/><Relationship Id="rId9" Type="http://schemas.openxmlformats.org/officeDocument/2006/relationships/image" Target="../media/image6.sv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4</xdr:col>
      <xdr:colOff>304800</xdr:colOff>
      <xdr:row>4</xdr:row>
      <xdr:rowOff>152400</xdr:rowOff>
    </xdr:to>
    <xdr:pic>
      <xdr:nvPicPr>
        <xdr:cNvPr id="3" name="Graphic 2" descr="Employee badge with solid fill">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828800" y="0"/>
          <a:ext cx="914400" cy="914400"/>
        </a:xfrm>
        <a:prstGeom prst="rect">
          <a:avLst/>
        </a:prstGeom>
      </xdr:spPr>
    </xdr:pic>
    <xdr:clientData/>
  </xdr:twoCellAnchor>
  <xdr:twoCellAnchor>
    <xdr:from>
      <xdr:col>8</xdr:col>
      <xdr:colOff>95250</xdr:colOff>
      <xdr:row>5</xdr:row>
      <xdr:rowOff>95250</xdr:rowOff>
    </xdr:from>
    <xdr:to>
      <xdr:col>8</xdr:col>
      <xdr:colOff>200025</xdr:colOff>
      <xdr:row>6</xdr:row>
      <xdr:rowOff>95250</xdr:rowOff>
    </xdr:to>
    <xdr:sp macro="" textlink="">
      <xdr:nvSpPr>
        <xdr:cNvPr id="4" name="Arrow: Down 3">
          <a:extLst>
            <a:ext uri="{FF2B5EF4-FFF2-40B4-BE49-F238E27FC236}">
              <a16:creationId xmlns:a16="http://schemas.microsoft.com/office/drawing/2014/main" id="{00000000-0008-0000-0000-000004000000}"/>
            </a:ext>
          </a:extLst>
        </xdr:cNvPr>
        <xdr:cNvSpPr/>
      </xdr:nvSpPr>
      <xdr:spPr>
        <a:xfrm>
          <a:off x="4972050" y="1057275"/>
          <a:ext cx="104775" cy="19050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114300</xdr:colOff>
      <xdr:row>9</xdr:row>
      <xdr:rowOff>66675</xdr:rowOff>
    </xdr:from>
    <xdr:to>
      <xdr:col>8</xdr:col>
      <xdr:colOff>266700</xdr:colOff>
      <xdr:row>10</xdr:row>
      <xdr:rowOff>152400</xdr:rowOff>
    </xdr:to>
    <xdr:sp macro="" textlink="">
      <xdr:nvSpPr>
        <xdr:cNvPr id="5" name="Arrow: Down 4">
          <a:extLst>
            <a:ext uri="{FF2B5EF4-FFF2-40B4-BE49-F238E27FC236}">
              <a16:creationId xmlns:a16="http://schemas.microsoft.com/office/drawing/2014/main" id="{00000000-0008-0000-0000-000005000000}"/>
            </a:ext>
          </a:extLst>
        </xdr:cNvPr>
        <xdr:cNvSpPr/>
      </xdr:nvSpPr>
      <xdr:spPr>
        <a:xfrm>
          <a:off x="4991100" y="2085975"/>
          <a:ext cx="152400" cy="27622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104775</xdr:colOff>
      <xdr:row>13</xdr:row>
      <xdr:rowOff>47625</xdr:rowOff>
    </xdr:from>
    <xdr:to>
      <xdr:col>8</xdr:col>
      <xdr:colOff>266700</xdr:colOff>
      <xdr:row>14</xdr:row>
      <xdr:rowOff>152400</xdr:rowOff>
    </xdr:to>
    <xdr:sp macro="" textlink="">
      <xdr:nvSpPr>
        <xdr:cNvPr id="6" name="Arrow: Down 5">
          <a:extLst>
            <a:ext uri="{FF2B5EF4-FFF2-40B4-BE49-F238E27FC236}">
              <a16:creationId xmlns:a16="http://schemas.microsoft.com/office/drawing/2014/main" id="{00000000-0008-0000-0000-000006000000}"/>
            </a:ext>
          </a:extLst>
        </xdr:cNvPr>
        <xdr:cNvSpPr/>
      </xdr:nvSpPr>
      <xdr:spPr>
        <a:xfrm>
          <a:off x="4981575" y="3152775"/>
          <a:ext cx="161925" cy="2952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133350</xdr:colOff>
      <xdr:row>17</xdr:row>
      <xdr:rowOff>57150</xdr:rowOff>
    </xdr:from>
    <xdr:to>
      <xdr:col>8</xdr:col>
      <xdr:colOff>295275</xdr:colOff>
      <xdr:row>18</xdr:row>
      <xdr:rowOff>152400</xdr:rowOff>
    </xdr:to>
    <xdr:sp macro="" textlink="">
      <xdr:nvSpPr>
        <xdr:cNvPr id="7" name="Arrow: Down 6">
          <a:extLst>
            <a:ext uri="{FF2B5EF4-FFF2-40B4-BE49-F238E27FC236}">
              <a16:creationId xmlns:a16="http://schemas.microsoft.com/office/drawing/2014/main" id="{00000000-0008-0000-0000-000007000000}"/>
            </a:ext>
          </a:extLst>
        </xdr:cNvPr>
        <xdr:cNvSpPr/>
      </xdr:nvSpPr>
      <xdr:spPr>
        <a:xfrm>
          <a:off x="5010150" y="4305300"/>
          <a:ext cx="161925" cy="28575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590549</xdr:colOff>
      <xdr:row>0</xdr:row>
      <xdr:rowOff>47624</xdr:rowOff>
    </xdr:from>
    <xdr:to>
      <xdr:col>13</xdr:col>
      <xdr:colOff>9525</xdr:colOff>
      <xdr:row>29</xdr:row>
      <xdr:rowOff>9525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809749" y="47624"/>
          <a:ext cx="6276976" cy="5486401"/>
        </a:xfrm>
        <a:prstGeom prst="rect">
          <a:avLst/>
        </a:prstGeom>
        <a:solidFill>
          <a:schemeClr val="accent5">
            <a:alpha val="50000"/>
          </a:schemeClr>
        </a:soli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endParaRPr lang="en-IN" sz="1400" b="1" i="0" u="none" strike="noStrike">
            <a:ln>
              <a:solidFill>
                <a:schemeClr val="tx1">
                  <a:lumMod val="95000"/>
                  <a:lumOff val="5000"/>
                </a:schemeClr>
              </a:solidFill>
            </a:ln>
            <a:solidFill>
              <a:schemeClr val="dk1"/>
            </a:solidFill>
            <a:effectLst/>
            <a:latin typeface="ADLaM Display" panose="020F0502020204030204" pitchFamily="2" charset="0"/>
            <a:ea typeface="ADLaM Display" panose="020F0502020204030204" pitchFamily="2" charset="0"/>
            <a:cs typeface="ADLaM Display" panose="020F0502020204030204" pitchFamily="2" charset="0"/>
          </a:endParaRPr>
        </a:p>
        <a:p>
          <a:pPr algn="ctr"/>
          <a:r>
            <a:rPr lang="en-IN" sz="1400" b="1" i="0" u="none" strike="noStrike">
              <a:solidFill>
                <a:srgbClr val="002060"/>
              </a:solidFill>
              <a:effectLst/>
              <a:latin typeface="ADLaM Display" panose="020F0502020204030204" pitchFamily="2" charset="0"/>
              <a:ea typeface="ADLaM Display" panose="020F0502020204030204" pitchFamily="2" charset="0"/>
              <a:cs typeface="ADLaM Display" panose="020F0502020204030204" pitchFamily="2" charset="0"/>
            </a:rPr>
            <a:t>DATA CLEANING PROCESS</a:t>
          </a:r>
          <a:endParaRPr lang="en-IN">
            <a:solidFill>
              <a:srgbClr val="002060"/>
            </a:solidFill>
            <a:effectLst/>
          </a:endParaRPr>
        </a:p>
        <a:p>
          <a:pPr algn="ctr"/>
          <a:endParaRPr lang="en-IN">
            <a:effectLst/>
          </a:endParaRPr>
        </a:p>
        <a:p>
          <a:pPr algn="ctr"/>
          <a:r>
            <a:rPr lang="en-IN" sz="1200" b="1" i="0" u="none" strike="noStrike">
              <a:solidFill>
                <a:schemeClr val="tx1">
                  <a:lumMod val="95000"/>
                  <a:lumOff val="5000"/>
                </a:schemeClr>
              </a:solidFill>
              <a:effectLst/>
              <a:latin typeface="+mn-lt"/>
              <a:ea typeface="+mn-ea"/>
              <a:cs typeface="+mn-cs"/>
            </a:rPr>
            <a:t>6 Key Cleaning Tasks Applied on Raw Data</a:t>
          </a:r>
          <a:r>
            <a:rPr lang="en-IN" sz="1200" b="1">
              <a:solidFill>
                <a:schemeClr val="tx1">
                  <a:lumMod val="95000"/>
                  <a:lumOff val="5000"/>
                </a:schemeClr>
              </a:solidFill>
              <a:effectLst/>
            </a:rPr>
            <a:t> </a:t>
          </a:r>
          <a:r>
            <a:rPr lang="en-IN" sz="1200" b="1" i="0" u="none" strike="noStrike">
              <a:solidFill>
                <a:schemeClr val="tx1">
                  <a:lumMod val="95000"/>
                  <a:lumOff val="5000"/>
                </a:schemeClr>
              </a:solidFill>
              <a:effectLst/>
              <a:latin typeface="+mn-lt"/>
              <a:ea typeface="+mn-ea"/>
              <a:cs typeface="+mn-cs"/>
            </a:rPr>
            <a:t>Task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a:p>
          <a:pPr algn="ctr"/>
          <a:r>
            <a:rPr lang="en-IN" sz="1100" b="1" i="0" u="none" strike="noStrike">
              <a:solidFill>
                <a:schemeClr val="dk1"/>
              </a:solidFill>
              <a:effectLst/>
              <a:latin typeface="+mn-lt"/>
              <a:ea typeface="+mn-ea"/>
              <a:cs typeface="+mn-cs"/>
            </a:rPr>
            <a:t>Task 1:  Handled Null / Missing Values</a:t>
          </a:r>
          <a:r>
            <a:rPr lang="en-IN" sz="1200" b="1">
              <a:effectLst/>
            </a:rPr>
            <a:t> </a:t>
          </a:r>
          <a:r>
            <a:rPr lang="en-IN" sz="1100" b="1" i="0" u="none" strike="noStrike">
              <a:solidFill>
                <a:schemeClr val="dk1"/>
              </a:solidFill>
              <a:effectLst/>
              <a:latin typeface="+mn-lt"/>
              <a:ea typeface="+mn-ea"/>
              <a:cs typeface="+mn-cs"/>
            </a:rPr>
            <a:t>Filled missing salary &amp; bonus fields with department averages —no blank </a:t>
          </a:r>
          <a:r>
            <a:rPr lang="en-IN" sz="1200" b="1">
              <a:effectLst/>
            </a:rPr>
            <a:t> </a:t>
          </a:r>
          <a:r>
            <a:rPr lang="en-IN" sz="1100" b="1" i="0" u="none" strike="noStrike">
              <a:solidFill>
                <a:schemeClr val="dk1"/>
              </a:solidFill>
              <a:effectLst/>
              <a:latin typeface="+mn-lt"/>
              <a:ea typeface="+mn-ea"/>
              <a:cs typeface="+mn-cs"/>
            </a:rPr>
            <a:t>cells left in dataset</a:t>
          </a:r>
        </a:p>
        <a:p>
          <a:pPr algn="ctr"/>
          <a:endParaRPr lang="en-IN" sz="1100" b="1" i="0" u="none" strike="noStrike">
            <a:solidFill>
              <a:schemeClr val="dk1"/>
            </a:solidFill>
            <a:effectLst/>
            <a:latin typeface="+mn-lt"/>
            <a:ea typeface="+mn-ea"/>
            <a:cs typeface="+mn-cs"/>
          </a:endParaRPr>
        </a:p>
        <a:p>
          <a:pPr algn="ctr"/>
          <a:endParaRPr lang="en-IN" sz="1100" b="1" i="0" u="none" strike="noStrike">
            <a:solidFill>
              <a:schemeClr val="dk1"/>
            </a:solidFill>
            <a:effectLst/>
            <a:latin typeface="+mn-lt"/>
            <a:ea typeface="+mn-ea"/>
            <a:cs typeface="+mn-cs"/>
          </a:endParaRPr>
        </a:p>
        <a:p>
          <a:pPr algn="ctr"/>
          <a:r>
            <a:rPr lang="en-IN" sz="1200" b="1">
              <a:effectLst/>
            </a:rPr>
            <a:t> </a:t>
          </a:r>
          <a:r>
            <a:rPr lang="en-IN" sz="1100" b="1" i="0" u="none" strike="noStrike">
              <a:solidFill>
                <a:schemeClr val="dk1"/>
              </a:solidFill>
              <a:effectLst/>
              <a:latin typeface="+mn-lt"/>
              <a:ea typeface="+mn-ea"/>
              <a:cs typeface="+mn-cs"/>
            </a:rPr>
            <a:t>Task 2:  Standardized Text Case</a:t>
          </a:r>
          <a:r>
            <a:rPr lang="en-IN" sz="1200" b="1">
              <a:effectLst/>
            </a:rPr>
            <a:t> </a:t>
          </a:r>
          <a:r>
            <a:rPr lang="en-IN" sz="1100" b="1" i="0" u="none" strike="noStrike">
              <a:solidFill>
                <a:schemeClr val="dk1"/>
              </a:solidFill>
              <a:effectLst/>
              <a:latin typeface="+mn-lt"/>
              <a:ea typeface="+mn-ea"/>
              <a:cs typeface="+mn-cs"/>
            </a:rPr>
            <a:t>Converted all Department and Job Level columns to proper Title Case (e.g., </a:t>
          </a:r>
          <a:r>
            <a:rPr lang="en-IN" sz="1200" b="1">
              <a:effectLst/>
            </a:rPr>
            <a:t> </a:t>
          </a:r>
          <a:r>
            <a:rPr lang="en-IN" sz="1100" b="1" i="0" u="none" strike="noStrike">
              <a:solidFill>
                <a:schemeClr val="dk1"/>
              </a:solidFill>
              <a:effectLst/>
              <a:latin typeface="+mn-lt"/>
              <a:ea typeface="+mn-ea"/>
              <a:cs typeface="+mn-cs"/>
            </a:rPr>
            <a:t>‘Employee salary' → ‘Employee_Bonus_Salary')</a:t>
          </a:r>
          <a:r>
            <a:rPr lang="en-IN" sz="1200" b="1">
              <a:effectLst/>
            </a:rPr>
            <a:t>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a:p>
          <a:pPr algn="ctr"/>
          <a:r>
            <a:rPr lang="en-IN" sz="1200" b="1" i="0" u="none" strike="noStrike">
              <a:solidFill>
                <a:schemeClr val="tx1">
                  <a:lumMod val="95000"/>
                  <a:lumOff val="5000"/>
                </a:schemeClr>
              </a:solidFill>
              <a:effectLst/>
              <a:latin typeface="+mn-lt"/>
              <a:ea typeface="+mn-ea"/>
              <a:cs typeface="+mn-cs"/>
            </a:rPr>
            <a:t>Task 3:  Removed Extra Spaces Trimmed leading/trailing spaces from Employee_ID, Department, and  Job_Level columns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a:p>
          <a:pPr algn="ctr"/>
          <a:r>
            <a:rPr lang="en-IN" sz="1100" b="1" i="0" u="none" strike="noStrike">
              <a:solidFill>
                <a:schemeClr val="dk1"/>
              </a:solidFill>
              <a:effectLst/>
              <a:latin typeface="+mn-lt"/>
              <a:ea typeface="+mn-ea"/>
              <a:cs typeface="+mn-cs"/>
            </a:rPr>
            <a:t>Task 4:  Corrected Date Formats</a:t>
          </a:r>
          <a:r>
            <a:rPr lang="en-IN" sz="1200" b="1">
              <a:effectLst/>
            </a:rPr>
            <a:t> </a:t>
          </a:r>
          <a:r>
            <a:rPr lang="en-IN" sz="1100" b="1" i="0" u="none" strike="noStrike">
              <a:solidFill>
                <a:schemeClr val="dk1"/>
              </a:solidFill>
              <a:effectLst/>
              <a:latin typeface="+mn-lt"/>
              <a:ea typeface="+mn-ea"/>
              <a:cs typeface="+mn-cs"/>
            </a:rPr>
            <a:t>Unified all date fields to YEAR format for consistent sorting and filtering</a:t>
          </a:r>
        </a:p>
        <a:p>
          <a:pPr algn="ctr"/>
          <a:endParaRPr lang="en-IN" sz="1100" b="1" i="0" u="none" strike="noStrike">
            <a:solidFill>
              <a:schemeClr val="dk1"/>
            </a:solidFill>
            <a:effectLst/>
            <a:latin typeface="+mn-lt"/>
            <a:ea typeface="+mn-ea"/>
            <a:cs typeface="+mn-cs"/>
          </a:endParaRPr>
        </a:p>
        <a:p>
          <a:pPr algn="ctr"/>
          <a:endParaRPr lang="en-IN" sz="1100" b="1" i="0" u="none" strike="noStrike">
            <a:solidFill>
              <a:schemeClr val="dk1"/>
            </a:solidFill>
            <a:effectLst/>
            <a:latin typeface="+mn-lt"/>
            <a:ea typeface="+mn-ea"/>
            <a:cs typeface="+mn-cs"/>
          </a:endParaRPr>
        </a:p>
        <a:p>
          <a:pPr algn="ctr"/>
          <a:r>
            <a:rPr lang="en-IN" sz="1200" b="1">
              <a:effectLst/>
            </a:rPr>
            <a:t> </a:t>
          </a:r>
          <a:r>
            <a:rPr lang="en-IN" sz="1100" b="1" i="0" u="none" strike="noStrike">
              <a:solidFill>
                <a:schemeClr val="dk1"/>
              </a:solidFill>
              <a:effectLst/>
              <a:latin typeface="+mn-lt"/>
              <a:ea typeface="+mn-ea"/>
              <a:cs typeface="+mn-cs"/>
            </a:rPr>
            <a:t>Task 5:  Removed Duplicate Rows</a:t>
          </a:r>
          <a:r>
            <a:rPr lang="en-IN" sz="1200" b="1">
              <a:effectLst/>
            </a:rPr>
            <a:t> </a:t>
          </a:r>
          <a:r>
            <a:rPr lang="en-IN" sz="1100" b="1" i="0" u="none" strike="noStrike">
              <a:solidFill>
                <a:schemeClr val="dk1"/>
              </a:solidFill>
              <a:effectLst/>
              <a:latin typeface="+mn-lt"/>
              <a:ea typeface="+mn-ea"/>
              <a:cs typeface="+mn-cs"/>
            </a:rPr>
            <a:t>Identified and removed duplicate Employee_ID entries —ensuring data </a:t>
          </a:r>
          <a:r>
            <a:rPr lang="en-IN" sz="1200" b="1">
              <a:effectLst/>
            </a:rPr>
            <a:t> </a:t>
          </a:r>
          <a:r>
            <a:rPr lang="en-IN" sz="1100" b="1" i="0" u="none" strike="noStrike">
              <a:solidFill>
                <a:schemeClr val="dk1"/>
              </a:solidFill>
              <a:effectLst/>
              <a:latin typeface="+mn-lt"/>
              <a:ea typeface="+mn-ea"/>
              <a:cs typeface="+mn-cs"/>
            </a:rPr>
            <a:t>integrity</a:t>
          </a:r>
        </a:p>
        <a:p>
          <a:pPr algn="ctr"/>
          <a:endParaRPr lang="en-IN" sz="1100" b="1" i="0" u="none" strike="noStrike">
            <a:solidFill>
              <a:schemeClr val="dk1"/>
            </a:solidFill>
            <a:effectLst/>
            <a:latin typeface="+mn-lt"/>
            <a:ea typeface="+mn-ea"/>
            <a:cs typeface="+mn-cs"/>
          </a:endParaRPr>
        </a:p>
        <a:p>
          <a:pPr algn="ctr"/>
          <a:endParaRPr lang="en-IN" sz="1100" b="1" i="0" u="none" strike="noStrike">
            <a:solidFill>
              <a:schemeClr val="dk1"/>
            </a:solidFill>
            <a:effectLst/>
            <a:latin typeface="+mn-lt"/>
            <a:ea typeface="+mn-ea"/>
            <a:cs typeface="+mn-cs"/>
          </a:endParaRPr>
        </a:p>
        <a:p>
          <a:pPr algn="ctr"/>
          <a:r>
            <a:rPr lang="en-IN" sz="1200" b="1">
              <a:effectLst/>
            </a:rPr>
            <a:t> </a:t>
          </a:r>
          <a:r>
            <a:rPr lang="en-IN" sz="1100" b="1" i="0" u="none" strike="noStrike">
              <a:solidFill>
                <a:schemeClr val="dk1"/>
              </a:solidFill>
              <a:effectLst/>
              <a:latin typeface="+mn-lt"/>
              <a:ea typeface="+mn-ea"/>
              <a:cs typeface="+mn-cs"/>
            </a:rPr>
            <a:t>Task 6:  Fixed Data Types</a:t>
          </a:r>
          <a:r>
            <a:rPr lang="en-IN" sz="1200" b="1">
              <a:effectLst/>
            </a:rPr>
            <a:t> </a:t>
          </a:r>
          <a:r>
            <a:rPr lang="en-IN" sz="1100" b="1" i="0" u="none" strike="noStrike">
              <a:solidFill>
                <a:schemeClr val="dk1"/>
              </a:solidFill>
              <a:effectLst/>
              <a:latin typeface="+mn-lt"/>
              <a:ea typeface="+mn-ea"/>
              <a:cs typeface="+mn-cs"/>
            </a:rPr>
            <a:t>Converted Salary to Number, Bonus_Percentage to Decimal, and Rating to </a:t>
          </a:r>
          <a:r>
            <a:rPr lang="en-IN" sz="1200" b="1">
              <a:effectLst/>
            </a:rPr>
            <a:t> </a:t>
          </a:r>
          <a:r>
            <a:rPr lang="en-IN" sz="1100" b="1" i="0" u="none" strike="noStrike">
              <a:solidFill>
                <a:schemeClr val="dk1"/>
              </a:solidFill>
              <a:effectLst/>
              <a:latin typeface="+mn-lt"/>
              <a:ea typeface="+mn-ea"/>
              <a:cs typeface="+mn-cs"/>
            </a:rPr>
            <a:t>Integer type</a:t>
          </a:r>
          <a:r>
            <a:rPr lang="en-IN" sz="1200" b="1">
              <a:effectLst/>
            </a:rPr>
            <a:t> </a:t>
          </a:r>
        </a:p>
        <a:p>
          <a:pPr algn="ctr"/>
          <a:endParaRPr lang="en-IN" sz="1200" b="1" i="0" u="none" strike="noStrike">
            <a:solidFill>
              <a:schemeClr val="tx1">
                <a:lumMod val="95000"/>
                <a:lumOff val="5000"/>
              </a:schemeClr>
            </a:solidFill>
            <a:effectLst/>
            <a:latin typeface="+mn-lt"/>
            <a:ea typeface="+mn-ea"/>
            <a:cs typeface="+mn-cs"/>
          </a:endParaRPr>
        </a:p>
        <a:p>
          <a:pPr algn="ctr"/>
          <a:endParaRPr lang="en-IN" sz="1200" b="1" i="0" u="none" strike="noStrike">
            <a:solidFill>
              <a:schemeClr val="tx1">
                <a:lumMod val="95000"/>
                <a:lumOff val="5000"/>
              </a:schemeClr>
            </a:solidFill>
            <a:effectLst/>
            <a:latin typeface="+mn-lt"/>
            <a:ea typeface="+mn-ea"/>
            <a:cs typeface="+mn-cs"/>
          </a:endParaRPr>
        </a:p>
      </xdr:txBody>
    </xdr:sp>
    <xdr:clientData/>
  </xdr:twoCellAnchor>
  <xdr:twoCellAnchor>
    <xdr:from>
      <xdr:col>7</xdr:col>
      <xdr:colOff>561975</xdr:colOff>
      <xdr:row>8</xdr:row>
      <xdr:rowOff>161925</xdr:rowOff>
    </xdr:from>
    <xdr:to>
      <xdr:col>8</xdr:col>
      <xdr:colOff>47625</xdr:colOff>
      <xdr:row>10</xdr:row>
      <xdr:rowOff>76200</xdr:rowOff>
    </xdr:to>
    <xdr:sp macro="" textlink="">
      <xdr:nvSpPr>
        <xdr:cNvPr id="3" name="Arrow: Down 2">
          <a:extLst>
            <a:ext uri="{FF2B5EF4-FFF2-40B4-BE49-F238E27FC236}">
              <a16:creationId xmlns:a16="http://schemas.microsoft.com/office/drawing/2014/main" id="{00000000-0008-0000-0100-000003000000}"/>
            </a:ext>
          </a:extLst>
        </xdr:cNvPr>
        <xdr:cNvSpPr/>
      </xdr:nvSpPr>
      <xdr:spPr>
        <a:xfrm>
          <a:off x="4829175" y="1685925"/>
          <a:ext cx="171450" cy="2952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552450</xdr:colOff>
      <xdr:row>12</xdr:row>
      <xdr:rowOff>114300</xdr:rowOff>
    </xdr:from>
    <xdr:to>
      <xdr:col>8</xdr:col>
      <xdr:colOff>47625</xdr:colOff>
      <xdr:row>13</xdr:row>
      <xdr:rowOff>171450</xdr:rowOff>
    </xdr:to>
    <xdr:sp macro="" textlink="">
      <xdr:nvSpPr>
        <xdr:cNvPr id="4" name="Arrow: Down 3">
          <a:extLst>
            <a:ext uri="{FF2B5EF4-FFF2-40B4-BE49-F238E27FC236}">
              <a16:creationId xmlns:a16="http://schemas.microsoft.com/office/drawing/2014/main" id="{00000000-0008-0000-0100-000004000000}"/>
            </a:ext>
          </a:extLst>
        </xdr:cNvPr>
        <xdr:cNvSpPr/>
      </xdr:nvSpPr>
      <xdr:spPr>
        <a:xfrm>
          <a:off x="4819650" y="2400300"/>
          <a:ext cx="180975" cy="24765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561975</xdr:colOff>
      <xdr:row>16</xdr:row>
      <xdr:rowOff>76200</xdr:rowOff>
    </xdr:from>
    <xdr:to>
      <xdr:col>8</xdr:col>
      <xdr:colOff>76200</xdr:colOff>
      <xdr:row>18</xdr:row>
      <xdr:rowOff>19050</xdr:rowOff>
    </xdr:to>
    <xdr:sp macro="" textlink="">
      <xdr:nvSpPr>
        <xdr:cNvPr id="5" name="Arrow: Down 4">
          <a:extLst>
            <a:ext uri="{FF2B5EF4-FFF2-40B4-BE49-F238E27FC236}">
              <a16:creationId xmlns:a16="http://schemas.microsoft.com/office/drawing/2014/main" id="{00000000-0008-0000-0100-000005000000}"/>
            </a:ext>
          </a:extLst>
        </xdr:cNvPr>
        <xdr:cNvSpPr/>
      </xdr:nvSpPr>
      <xdr:spPr>
        <a:xfrm>
          <a:off x="4829175" y="3124200"/>
          <a:ext cx="200025" cy="323850"/>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552450</xdr:colOff>
      <xdr:row>19</xdr:row>
      <xdr:rowOff>104774</xdr:rowOff>
    </xdr:from>
    <xdr:to>
      <xdr:col>8</xdr:col>
      <xdr:colOff>85725</xdr:colOff>
      <xdr:row>21</xdr:row>
      <xdr:rowOff>57149</xdr:rowOff>
    </xdr:to>
    <xdr:sp macro="" textlink="">
      <xdr:nvSpPr>
        <xdr:cNvPr id="6" name="Arrow: Down 5">
          <a:extLst>
            <a:ext uri="{FF2B5EF4-FFF2-40B4-BE49-F238E27FC236}">
              <a16:creationId xmlns:a16="http://schemas.microsoft.com/office/drawing/2014/main" id="{00000000-0008-0000-0100-000006000000}"/>
            </a:ext>
          </a:extLst>
        </xdr:cNvPr>
        <xdr:cNvSpPr/>
      </xdr:nvSpPr>
      <xdr:spPr>
        <a:xfrm>
          <a:off x="4819650" y="3724274"/>
          <a:ext cx="219075" cy="3333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561975</xdr:colOff>
      <xdr:row>23</xdr:row>
      <xdr:rowOff>38100</xdr:rowOff>
    </xdr:from>
    <xdr:to>
      <xdr:col>8</xdr:col>
      <xdr:colOff>57150</xdr:colOff>
      <xdr:row>24</xdr:row>
      <xdr:rowOff>142875</xdr:rowOff>
    </xdr:to>
    <xdr:sp macro="" textlink="">
      <xdr:nvSpPr>
        <xdr:cNvPr id="7" name="Arrow: Down 6">
          <a:extLst>
            <a:ext uri="{FF2B5EF4-FFF2-40B4-BE49-F238E27FC236}">
              <a16:creationId xmlns:a16="http://schemas.microsoft.com/office/drawing/2014/main" id="{00000000-0008-0000-0100-000007000000}"/>
            </a:ext>
          </a:extLst>
        </xdr:cNvPr>
        <xdr:cNvSpPr/>
      </xdr:nvSpPr>
      <xdr:spPr>
        <a:xfrm>
          <a:off x="4829175" y="4419600"/>
          <a:ext cx="180975" cy="2952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76200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447675</xdr:colOff>
      <xdr:row>4</xdr:row>
      <xdr:rowOff>152400</xdr:rowOff>
    </xdr:from>
    <xdr:to>
      <xdr:col>14</xdr:col>
      <xdr:colOff>447675</xdr:colOff>
      <xdr:row>18</xdr:row>
      <xdr:rowOff>152400</xdr:rowOff>
    </xdr:to>
    <mc:AlternateContent xmlns:mc="http://schemas.openxmlformats.org/markup-compatibility/2006" xmlns:a14="http://schemas.microsoft.com/office/drawing/2010/main">
      <mc:Choice Requires="a14">
        <xdr:graphicFrame macro="">
          <xdr:nvGraphicFramePr>
            <xdr:cNvPr id="4" name="Performance_Rating (1-5)">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Performance_Rating (1-5)"/>
            </a:graphicData>
          </a:graphic>
        </xdr:graphicFrame>
      </mc:Choice>
      <mc:Fallback xmlns="">
        <xdr:sp macro="" textlink="">
          <xdr:nvSpPr>
            <xdr:cNvPr id="0" name=""/>
            <xdr:cNvSpPr>
              <a:spLocks noTextEdit="1"/>
            </xdr:cNvSpPr>
          </xdr:nvSpPr>
          <xdr:spPr>
            <a:xfrm>
              <a:off x="9591675" y="9144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527050</xdr:colOff>
          <xdr:row>6</xdr:row>
          <xdr:rowOff>127000</xdr:rowOff>
        </xdr:from>
        <xdr:to>
          <xdr:col>11</xdr:col>
          <xdr:colOff>133350</xdr:colOff>
          <xdr:row>7</xdr:row>
          <xdr:rowOff>184150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CALCULATE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4536</xdr:colOff>
      <xdr:row>10</xdr:row>
      <xdr:rowOff>9525</xdr:rowOff>
    </xdr:from>
    <xdr:to>
      <xdr:col>6</xdr:col>
      <xdr:colOff>76200</xdr:colOff>
      <xdr:row>23</xdr:row>
      <xdr:rowOff>151949</xdr:rowOff>
    </xdr:to>
    <xdr:graphicFrame macro="">
      <xdr:nvGraphicFramePr>
        <xdr:cNvPr id="2" name="Chart 1" descr="Chart type: Clustered Bar. 'Total_Annual_Salary_USD' by 'Performance_Rating (1-5)' and 'Job_Level'&#10;&#10;Description automatically generated">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116116</xdr:colOff>
      <xdr:row>10</xdr:row>
      <xdr:rowOff>15874</xdr:rowOff>
    </xdr:from>
    <xdr:to>
      <xdr:col>9</xdr:col>
      <xdr:colOff>2326821</xdr:colOff>
      <xdr:row>23</xdr:row>
      <xdr:rowOff>158749</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985041</xdr:colOff>
      <xdr:row>31</xdr:row>
      <xdr:rowOff>38554</xdr:rowOff>
    </xdr:from>
    <xdr:to>
      <xdr:col>10</xdr:col>
      <xdr:colOff>27214</xdr:colOff>
      <xdr:row>48</xdr:row>
      <xdr:rowOff>106589</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66411</xdr:colOff>
      <xdr:row>24</xdr:row>
      <xdr:rowOff>32891</xdr:rowOff>
    </xdr:from>
    <xdr:to>
      <xdr:col>10</xdr:col>
      <xdr:colOff>0</xdr:colOff>
      <xdr:row>30</xdr:row>
      <xdr:rowOff>163286</xdr:rowOff>
    </xdr:to>
    <mc:AlternateContent xmlns:mc="http://schemas.openxmlformats.org/markup-compatibility/2006" xmlns:a14="http://schemas.microsoft.com/office/drawing/2010/main">
      <mc:Choice Requires="a14">
        <xdr:graphicFrame macro="">
          <xdr:nvGraphicFramePr>
            <xdr:cNvPr id="4" name="Department 1">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1401161" y="5081141"/>
              <a:ext cx="2274018" cy="12733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1053522</xdr:colOff>
      <xdr:row>2</xdr:row>
      <xdr:rowOff>144320</xdr:rowOff>
    </xdr:from>
    <xdr:to>
      <xdr:col>3</xdr:col>
      <xdr:colOff>548408</xdr:colOff>
      <xdr:row>7</xdr:row>
      <xdr:rowOff>43296</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371022" y="952502"/>
          <a:ext cx="1991591" cy="851476"/>
        </a:xfrm>
        <a:prstGeom prst="rect">
          <a:avLst/>
        </a:prstGeom>
        <a:ln/>
        <a:scene3d>
          <a:camera prst="orthographicFront"/>
          <a:lightRig rig="harsh"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sp3d extrusionH="57150" prstMaterial="matte">
            <a:bevelT w="63500" h="12700"/>
            <a:contourClr>
              <a:schemeClr val="bg1">
                <a:lumMod val="65000"/>
              </a:schemeClr>
            </a:contourClr>
          </a:sp3d>
        </a:bodyPr>
        <a:lstStyle/>
        <a:p>
          <a:pPr algn="ctr"/>
          <a:r>
            <a:rPr lang="en-IN" sz="1600" b="1" u="sng" cap="none" spc="0">
              <a:ln>
                <a:solidFill>
                  <a:schemeClr val="accent6">
                    <a:lumMod val="50000"/>
                  </a:schemeClr>
                </a:solidFill>
              </a:ln>
              <a:solidFill>
                <a:schemeClr val="accent3"/>
              </a:solidFill>
              <a:effectLst/>
            </a:rPr>
            <a:t>TOTAL</a:t>
          </a:r>
          <a:r>
            <a:rPr lang="en-IN" sz="1600" b="1" u="sng" cap="none" spc="0" baseline="0">
              <a:ln>
                <a:solidFill>
                  <a:schemeClr val="accent6">
                    <a:lumMod val="50000"/>
                  </a:schemeClr>
                </a:solidFill>
              </a:ln>
              <a:solidFill>
                <a:schemeClr val="accent3"/>
              </a:solidFill>
              <a:effectLst/>
            </a:rPr>
            <a:t> EMPLOYESS</a:t>
          </a:r>
        </a:p>
        <a:p>
          <a:pPr algn="ctr"/>
          <a:r>
            <a:rPr lang="en-IN" sz="2400" b="1" u="sng" cap="none" spc="0" baseline="0">
              <a:ln>
                <a:solidFill>
                  <a:schemeClr val="accent6">
                    <a:lumMod val="50000"/>
                  </a:schemeClr>
                </a:solidFill>
              </a:ln>
              <a:solidFill>
                <a:schemeClr val="accent3"/>
              </a:solidFill>
              <a:effectLst/>
            </a:rPr>
            <a:t>100</a:t>
          </a:r>
        </a:p>
      </xdr:txBody>
    </xdr:sp>
    <xdr:clientData/>
  </xdr:twoCellAnchor>
  <xdr:twoCellAnchor editAs="oneCell">
    <xdr:from>
      <xdr:col>1</xdr:col>
      <xdr:colOff>86591</xdr:colOff>
      <xdr:row>2</xdr:row>
      <xdr:rowOff>43296</xdr:rowOff>
    </xdr:from>
    <xdr:to>
      <xdr:col>1</xdr:col>
      <xdr:colOff>1000991</xdr:colOff>
      <xdr:row>7</xdr:row>
      <xdr:rowOff>5196</xdr:rowOff>
    </xdr:to>
    <xdr:pic>
      <xdr:nvPicPr>
        <xdr:cNvPr id="13" name="Graphic 12" descr="Employee badge with solid fill">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04091" y="851478"/>
          <a:ext cx="914400" cy="914400"/>
        </a:xfrm>
        <a:prstGeom prst="rect">
          <a:avLst/>
        </a:prstGeom>
      </xdr:spPr>
    </xdr:pic>
    <xdr:clientData/>
  </xdr:twoCellAnchor>
  <xdr:twoCellAnchor>
    <xdr:from>
      <xdr:col>4</xdr:col>
      <xdr:colOff>57728</xdr:colOff>
      <xdr:row>2</xdr:row>
      <xdr:rowOff>14432</xdr:rowOff>
    </xdr:from>
    <xdr:to>
      <xdr:col>4</xdr:col>
      <xdr:colOff>57728</xdr:colOff>
      <xdr:row>8</xdr:row>
      <xdr:rowOff>14432</xdr:rowOff>
    </xdr:to>
    <xdr:cxnSp macro="">
      <xdr:nvCxnSpPr>
        <xdr:cNvPr id="15" name="Straight Connector 14">
          <a:extLst>
            <a:ext uri="{FF2B5EF4-FFF2-40B4-BE49-F238E27FC236}">
              <a16:creationId xmlns:a16="http://schemas.microsoft.com/office/drawing/2014/main" id="{00000000-0008-0000-0600-00000F000000}"/>
            </a:ext>
          </a:extLst>
        </xdr:cNvPr>
        <xdr:cNvCxnSpPr/>
      </xdr:nvCxnSpPr>
      <xdr:spPr>
        <a:xfrm>
          <a:off x="3838864" y="822614"/>
          <a:ext cx="0" cy="1154545"/>
        </a:xfrm>
        <a:prstGeom prst="line">
          <a:avLst/>
        </a:prstGeom>
        <a:scene3d>
          <a:camera prst="orthographicFront"/>
          <a:lightRig rig="threePt" dir="t"/>
        </a:scene3d>
        <a:sp3d>
          <a:bevelT/>
        </a:sp3d>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72158</xdr:colOff>
      <xdr:row>2</xdr:row>
      <xdr:rowOff>144318</xdr:rowOff>
    </xdr:from>
    <xdr:to>
      <xdr:col>6</xdr:col>
      <xdr:colOff>750454</xdr:colOff>
      <xdr:row>7</xdr:row>
      <xdr:rowOff>14431</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5022272" y="952500"/>
          <a:ext cx="1818409" cy="822613"/>
        </a:xfrm>
        <a:prstGeom prst="rect">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pPr algn="ctr"/>
          <a:r>
            <a:rPr lang="en-IN" sz="1800" b="1" u="sng"/>
            <a:t>TOTAL</a:t>
          </a:r>
          <a:r>
            <a:rPr lang="en-IN" sz="1800" b="1" u="sng" baseline="0"/>
            <a:t> PAYROOL</a:t>
          </a:r>
        </a:p>
        <a:p>
          <a:pPr algn="ctr"/>
          <a:r>
            <a:rPr lang="en-IN" sz="1800" b="1" u="sng" baseline="0"/>
            <a:t>$ 9.94 M</a:t>
          </a:r>
          <a:endParaRPr lang="en-IN" sz="1800" b="1" u="sng"/>
        </a:p>
      </xdr:txBody>
    </xdr:sp>
    <xdr:clientData/>
  </xdr:twoCellAnchor>
  <xdr:twoCellAnchor editAs="oneCell">
    <xdr:from>
      <xdr:col>4</xdr:col>
      <xdr:colOff>216478</xdr:colOff>
      <xdr:row>2</xdr:row>
      <xdr:rowOff>28864</xdr:rowOff>
    </xdr:from>
    <xdr:to>
      <xdr:col>4</xdr:col>
      <xdr:colOff>1130878</xdr:colOff>
      <xdr:row>7</xdr:row>
      <xdr:rowOff>2310</xdr:rowOff>
    </xdr:to>
    <xdr:pic>
      <xdr:nvPicPr>
        <xdr:cNvPr id="18" name="Graphic 17" descr="Money with solid fill">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997614" y="837046"/>
          <a:ext cx="914400" cy="914400"/>
        </a:xfrm>
        <a:prstGeom prst="rect">
          <a:avLst/>
        </a:prstGeom>
      </xdr:spPr>
    </xdr:pic>
    <xdr:clientData/>
  </xdr:twoCellAnchor>
  <xdr:twoCellAnchor>
    <xdr:from>
      <xdr:col>7</xdr:col>
      <xdr:colOff>101023</xdr:colOff>
      <xdr:row>2</xdr:row>
      <xdr:rowOff>0</xdr:rowOff>
    </xdr:from>
    <xdr:to>
      <xdr:col>7</xdr:col>
      <xdr:colOff>115454</xdr:colOff>
      <xdr:row>8</xdr:row>
      <xdr:rowOff>43296</xdr:rowOff>
    </xdr:to>
    <xdr:cxnSp macro="">
      <xdr:nvCxnSpPr>
        <xdr:cNvPr id="20" name="Straight Connector 19">
          <a:extLst>
            <a:ext uri="{FF2B5EF4-FFF2-40B4-BE49-F238E27FC236}">
              <a16:creationId xmlns:a16="http://schemas.microsoft.com/office/drawing/2014/main" id="{00000000-0008-0000-0600-000014000000}"/>
            </a:ext>
          </a:extLst>
        </xdr:cNvPr>
        <xdr:cNvCxnSpPr/>
      </xdr:nvCxnSpPr>
      <xdr:spPr>
        <a:xfrm>
          <a:off x="7331364" y="808182"/>
          <a:ext cx="14431" cy="1197841"/>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8</xdr:col>
      <xdr:colOff>1918607</xdr:colOff>
      <xdr:row>2</xdr:row>
      <xdr:rowOff>27214</xdr:rowOff>
    </xdr:from>
    <xdr:to>
      <xdr:col>8</xdr:col>
      <xdr:colOff>1945821</xdr:colOff>
      <xdr:row>8</xdr:row>
      <xdr:rowOff>13607</xdr:rowOff>
    </xdr:to>
    <xdr:cxnSp macro="">
      <xdr:nvCxnSpPr>
        <xdr:cNvPr id="26" name="Straight Connector 25">
          <a:extLst>
            <a:ext uri="{FF2B5EF4-FFF2-40B4-BE49-F238E27FC236}">
              <a16:creationId xmlns:a16="http://schemas.microsoft.com/office/drawing/2014/main" id="{00000000-0008-0000-0600-00001A000000}"/>
            </a:ext>
          </a:extLst>
        </xdr:cNvPr>
        <xdr:cNvCxnSpPr/>
      </xdr:nvCxnSpPr>
      <xdr:spPr>
        <a:xfrm>
          <a:off x="10749643" y="843643"/>
          <a:ext cx="27214" cy="1156607"/>
        </a:xfrm>
        <a:prstGeom prst="line">
          <a:avLst/>
        </a:prstGeom>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258536</xdr:colOff>
      <xdr:row>2</xdr:row>
      <xdr:rowOff>13607</xdr:rowOff>
    </xdr:from>
    <xdr:to>
      <xdr:col>11</xdr:col>
      <xdr:colOff>272143</xdr:colOff>
      <xdr:row>7</xdr:row>
      <xdr:rowOff>190500</xdr:rowOff>
    </xdr:to>
    <xdr:cxnSp macro="">
      <xdr:nvCxnSpPr>
        <xdr:cNvPr id="28" name="Straight Arrow Connector 27">
          <a:extLst>
            <a:ext uri="{FF2B5EF4-FFF2-40B4-BE49-F238E27FC236}">
              <a16:creationId xmlns:a16="http://schemas.microsoft.com/office/drawing/2014/main" id="{00000000-0008-0000-0600-00001C000000}"/>
            </a:ext>
          </a:extLst>
        </xdr:cNvPr>
        <xdr:cNvCxnSpPr/>
      </xdr:nvCxnSpPr>
      <xdr:spPr>
        <a:xfrm>
          <a:off x="14641286" y="830036"/>
          <a:ext cx="13607" cy="114300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914400</xdr:colOff>
      <xdr:row>2</xdr:row>
      <xdr:rowOff>171450</xdr:rowOff>
    </xdr:from>
    <xdr:to>
      <xdr:col>8</xdr:col>
      <xdr:colOff>1798864</xdr:colOff>
      <xdr:row>7</xdr:row>
      <xdr:rowOff>19050</xdr:rowOff>
    </xdr:to>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8172450" y="990600"/>
          <a:ext cx="2484664" cy="819150"/>
        </a:xfrm>
        <a:prstGeom prst="rect">
          <a:avLst/>
        </a:prstGeom>
        <a:ln/>
        <a:scene3d>
          <a:camera prst="orthographicFront"/>
          <a:lightRig rig="threePt" dir="t"/>
        </a:scene3d>
        <a:sp3d>
          <a:bevelT prst="angle"/>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pPr algn="ctr"/>
          <a:r>
            <a:rPr lang="en-IN" sz="2000" b="1" u="sng"/>
            <a:t>AVG PERFORMANCE</a:t>
          </a:r>
        </a:p>
        <a:p>
          <a:pPr algn="ctr"/>
          <a:r>
            <a:rPr lang="en-IN" sz="2000" b="1"/>
            <a:t>3.63</a:t>
          </a:r>
        </a:p>
        <a:p>
          <a:pPr algn="ctr"/>
          <a:endParaRPr lang="en-IN" sz="2000">
            <a:effectLst/>
          </a:endParaRPr>
        </a:p>
        <a:p>
          <a:pPr algn="ctr"/>
          <a:endParaRPr lang="en-IN" sz="2000"/>
        </a:p>
      </xdr:txBody>
    </xdr:sp>
    <xdr:clientData/>
  </xdr:twoCellAnchor>
  <xdr:twoCellAnchor editAs="oneCell">
    <xdr:from>
      <xdr:col>8</xdr:col>
      <xdr:colOff>854530</xdr:colOff>
      <xdr:row>4</xdr:row>
      <xdr:rowOff>141516</xdr:rowOff>
    </xdr:from>
    <xdr:to>
      <xdr:col>8</xdr:col>
      <xdr:colOff>1153885</xdr:colOff>
      <xdr:row>6</xdr:row>
      <xdr:rowOff>59871</xdr:rowOff>
    </xdr:to>
    <xdr:pic>
      <xdr:nvPicPr>
        <xdr:cNvPr id="31" name="Graphic 30" descr="Star with solid fill">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712780" y="1341666"/>
          <a:ext cx="299355" cy="299355"/>
        </a:xfrm>
        <a:prstGeom prst="rect">
          <a:avLst/>
        </a:prstGeom>
      </xdr:spPr>
    </xdr:pic>
    <xdr:clientData/>
  </xdr:twoCellAnchor>
  <xdr:twoCellAnchor editAs="oneCell">
    <xdr:from>
      <xdr:col>7</xdr:col>
      <xdr:colOff>19050</xdr:colOff>
      <xdr:row>2</xdr:row>
      <xdr:rowOff>19050</xdr:rowOff>
    </xdr:from>
    <xdr:to>
      <xdr:col>7</xdr:col>
      <xdr:colOff>933450</xdr:colOff>
      <xdr:row>6</xdr:row>
      <xdr:rowOff>171450</xdr:rowOff>
    </xdr:to>
    <xdr:pic>
      <xdr:nvPicPr>
        <xdr:cNvPr id="33" name="Graphic 32" descr="Office worker male with solid fill">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277100" y="838200"/>
          <a:ext cx="914400" cy="914400"/>
        </a:xfrm>
        <a:prstGeom prst="rect">
          <a:avLst/>
        </a:prstGeom>
      </xdr:spPr>
    </xdr:pic>
    <xdr:clientData/>
  </xdr:twoCellAnchor>
  <xdr:twoCellAnchor>
    <xdr:from>
      <xdr:col>9</xdr:col>
      <xdr:colOff>514350</xdr:colOff>
      <xdr:row>2</xdr:row>
      <xdr:rowOff>133349</xdr:rowOff>
    </xdr:from>
    <xdr:to>
      <xdr:col>10</xdr:col>
      <xdr:colOff>342900</xdr:colOff>
      <xdr:row>7</xdr:row>
      <xdr:rowOff>116416</xdr:rowOff>
    </xdr:to>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13489517" y="927099"/>
          <a:ext cx="2495550" cy="903817"/>
        </a:xfrm>
        <a:prstGeom prst="rect">
          <a:avLst/>
        </a:prstGeom>
        <a:ln/>
        <a:scene3d>
          <a:camera prst="orthographicFront"/>
          <a:lightRig rig="threePt" dir="t"/>
        </a:scene3d>
        <a:sp3d>
          <a:bevelT w="165100" prst="coolSlan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sp3d extrusionH="57150" prstMaterial="softEdge">
            <a:bevelT w="25400" h="38100"/>
          </a:sp3d>
        </a:bodyPr>
        <a:lstStyle/>
        <a:p>
          <a:pPr algn="ctr"/>
          <a:r>
            <a:rPr lang="en-IN" sz="1100" b="1" cap="none" spc="0">
              <a:ln/>
              <a:solidFill>
                <a:schemeClr val="tx1">
                  <a:lumMod val="95000"/>
                  <a:lumOff val="5000"/>
                </a:schemeClr>
              </a:solidFill>
              <a:effectLst/>
            </a:rPr>
            <a:t> </a:t>
          </a:r>
          <a:r>
            <a:rPr lang="en-IN" sz="2400" b="1" u="sng" cap="none" spc="0">
              <a:ln/>
              <a:solidFill>
                <a:schemeClr val="tx1">
                  <a:lumMod val="95000"/>
                  <a:lumOff val="5000"/>
                </a:schemeClr>
              </a:solidFill>
              <a:effectLst/>
            </a:rPr>
            <a:t>Avg Experience</a:t>
          </a:r>
        </a:p>
        <a:p>
          <a:pPr algn="ctr"/>
          <a:r>
            <a:rPr lang="en-IN" sz="2400" b="1" cap="none" spc="0">
              <a:ln/>
              <a:solidFill>
                <a:schemeClr val="tx1">
                  <a:lumMod val="95000"/>
                  <a:lumOff val="5000"/>
                </a:schemeClr>
              </a:solidFill>
              <a:effectLst/>
            </a:rPr>
            <a:t>6 yrs</a:t>
          </a:r>
          <a:endParaRPr lang="en-IN" sz="1100" b="1" cap="none" spc="0">
            <a:ln/>
            <a:solidFill>
              <a:schemeClr val="tx1">
                <a:lumMod val="95000"/>
                <a:lumOff val="5000"/>
              </a:schemeClr>
            </a:solidFill>
            <a:effectLst/>
          </a:endParaRPr>
        </a:p>
      </xdr:txBody>
    </xdr:sp>
    <xdr:clientData/>
  </xdr:twoCellAnchor>
  <xdr:twoCellAnchor editAs="oneCell">
    <xdr:from>
      <xdr:col>8</xdr:col>
      <xdr:colOff>2019300</xdr:colOff>
      <xdr:row>2</xdr:row>
      <xdr:rowOff>76200</xdr:rowOff>
    </xdr:from>
    <xdr:to>
      <xdr:col>9</xdr:col>
      <xdr:colOff>419100</xdr:colOff>
      <xdr:row>7</xdr:row>
      <xdr:rowOff>19050</xdr:rowOff>
    </xdr:to>
    <xdr:pic>
      <xdr:nvPicPr>
        <xdr:cNvPr id="36" name="Graphic 35" descr="Employee badge outline">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877550" y="895350"/>
          <a:ext cx="914400" cy="914400"/>
        </a:xfrm>
        <a:prstGeom prst="rect">
          <a:avLst/>
        </a:prstGeom>
      </xdr:spPr>
    </xdr:pic>
    <xdr:clientData/>
  </xdr:twoCellAnchor>
  <xdr:twoCellAnchor>
    <xdr:from>
      <xdr:col>11</xdr:col>
      <xdr:colOff>1371599</xdr:colOff>
      <xdr:row>2</xdr:row>
      <xdr:rowOff>103415</xdr:rowOff>
    </xdr:from>
    <xdr:to>
      <xdr:col>12</xdr:col>
      <xdr:colOff>1673678</xdr:colOff>
      <xdr:row>7</xdr:row>
      <xdr:rowOff>27215</xdr:rowOff>
    </xdr:to>
    <xdr:sp macro="" textlink="">
      <xdr:nvSpPr>
        <xdr:cNvPr id="37" name="TextBox 36">
          <a:extLst>
            <a:ext uri="{FF2B5EF4-FFF2-40B4-BE49-F238E27FC236}">
              <a16:creationId xmlns:a16="http://schemas.microsoft.com/office/drawing/2014/main" id="{00000000-0008-0000-0600-000025000000}"/>
            </a:ext>
          </a:extLst>
        </xdr:cNvPr>
        <xdr:cNvSpPr txBox="1"/>
      </xdr:nvSpPr>
      <xdr:spPr>
        <a:xfrm>
          <a:off x="16108135" y="919844"/>
          <a:ext cx="1948543" cy="889907"/>
        </a:xfrm>
        <a:prstGeom prst="rect">
          <a:avLst/>
        </a:prstGeom>
        <a:ln/>
        <a:scene3d>
          <a:camera prst="orthographicFront"/>
          <a:lightRig rig="threePt" dir="t"/>
        </a:scene3d>
        <a:sp3d>
          <a:bevelT w="165100" prst="coolSlant"/>
        </a:sp3d>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IN" sz="1600" b="1" u="sng"/>
            <a:t>TOTAL</a:t>
          </a:r>
          <a:r>
            <a:rPr lang="en-IN" sz="1600" b="1" u="sng" baseline="0"/>
            <a:t>  BONUS PAID</a:t>
          </a:r>
        </a:p>
        <a:p>
          <a:endParaRPr lang="en-IN" sz="1200" b="1" u="sng" baseline="0"/>
        </a:p>
        <a:p>
          <a:pPr algn="ctr"/>
          <a:r>
            <a:rPr lang="en-IN" sz="1800" b="1"/>
            <a:t>$ 1.01 M</a:t>
          </a:r>
        </a:p>
      </xdr:txBody>
    </xdr:sp>
    <xdr:clientData/>
  </xdr:twoCellAnchor>
  <xdr:twoCellAnchor editAs="oneCell">
    <xdr:from>
      <xdr:col>11</xdr:col>
      <xdr:colOff>285750</xdr:colOff>
      <xdr:row>2</xdr:row>
      <xdr:rowOff>171450</xdr:rowOff>
    </xdr:from>
    <xdr:to>
      <xdr:col>11</xdr:col>
      <xdr:colOff>1162050</xdr:colOff>
      <xdr:row>7</xdr:row>
      <xdr:rowOff>76200</xdr:rowOff>
    </xdr:to>
    <xdr:pic>
      <xdr:nvPicPr>
        <xdr:cNvPr id="39" name="Graphic 38" descr="Coins with solid fill">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4706600" y="990600"/>
          <a:ext cx="876300" cy="876300"/>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374650</xdr:colOff>
          <xdr:row>51</xdr:row>
          <xdr:rowOff>146050</xdr:rowOff>
        </xdr:from>
        <xdr:to>
          <xdr:col>12</xdr:col>
          <xdr:colOff>241300</xdr:colOff>
          <xdr:row>52</xdr:row>
          <xdr:rowOff>381000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ptos Narrow"/>
                </a:rPr>
                <a:t>CALCULATE</a:t>
              </a:r>
            </a:p>
          </xdr:txBody>
        </xdr:sp>
        <xdr:clientData fPrintsWithSheet="0"/>
      </xdr:twoCellAnchor>
    </mc:Choice>
    <mc:Fallback/>
  </mc:AlternateContent>
  <xdr:twoCellAnchor>
    <xdr:from>
      <xdr:col>0</xdr:col>
      <xdr:colOff>297656</xdr:colOff>
      <xdr:row>31</xdr:row>
      <xdr:rowOff>35716</xdr:rowOff>
    </xdr:from>
    <xdr:to>
      <xdr:col>5</xdr:col>
      <xdr:colOff>940593</xdr:colOff>
      <xdr:row>48</xdr:row>
      <xdr:rowOff>142874</xdr:rowOff>
    </xdr:to>
    <xdr:graphicFrame macro="">
      <xdr:nvGraphicFramePr>
        <xdr:cNvPr id="40" name="Chart 39">
          <a:extLst>
            <a:ext uri="{FF2B5EF4-FFF2-40B4-BE49-F238E27FC236}">
              <a16:creationId xmlns:a16="http://schemas.microsoft.com/office/drawing/2014/main" id="{00000000-0008-0000-06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4</xdr:col>
      <xdr:colOff>261939</xdr:colOff>
      <xdr:row>43</xdr:row>
      <xdr:rowOff>166688</xdr:rowOff>
    </xdr:from>
    <xdr:to>
      <xdr:col>5</xdr:col>
      <xdr:colOff>928688</xdr:colOff>
      <xdr:row>48</xdr:row>
      <xdr:rowOff>105456</xdr:rowOff>
    </xdr:to>
    <mc:AlternateContent xmlns:mc="http://schemas.openxmlformats.org/markup-compatibility/2006" xmlns:a14="http://schemas.microsoft.com/office/drawing/2010/main">
      <mc:Choice Requires="a14">
        <xdr:graphicFrame macro="">
          <xdr:nvGraphicFramePr>
            <xdr:cNvPr id="41" name="Performance_Rating (1-5) 1">
              <a:extLst>
                <a:ext uri="{FF2B5EF4-FFF2-40B4-BE49-F238E27FC236}">
                  <a16:creationId xmlns:a16="http://schemas.microsoft.com/office/drawing/2014/main" id="{00000000-0008-0000-0600-000029000000}"/>
                </a:ext>
              </a:extLst>
            </xdr:cNvPr>
            <xdr:cNvGraphicFramePr/>
          </xdr:nvGraphicFramePr>
          <xdr:xfrm>
            <a:off x="0" y="0"/>
            <a:ext cx="0" cy="0"/>
          </xdr:xfrm>
          <a:graphic>
            <a:graphicData uri="http://schemas.microsoft.com/office/drawing/2010/slicer">
              <sle:slicer xmlns:sle="http://schemas.microsoft.com/office/drawing/2010/slicer" name="Performance_Rating (1-5) 1"/>
            </a:graphicData>
          </a:graphic>
        </xdr:graphicFrame>
      </mc:Choice>
      <mc:Fallback xmlns="">
        <xdr:sp macro="" textlink="">
          <xdr:nvSpPr>
            <xdr:cNvPr id="0" name=""/>
            <xdr:cNvSpPr>
              <a:spLocks noTextEdit="1"/>
            </xdr:cNvSpPr>
          </xdr:nvSpPr>
          <xdr:spPr>
            <a:xfrm>
              <a:off x="4058332" y="8861652"/>
              <a:ext cx="1823356" cy="904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dip" refreshedDate="46160.698159259256" createdVersion="8" refreshedVersion="8" minRefreshableVersion="3" recordCount="100" xr:uid="{7F8A3496-B0DD-45FD-830C-58190B7B831A}">
  <cacheSource type="worksheet">
    <worksheetSource ref="A1:I101" sheet="Cleaning Data"/>
  </cacheSource>
  <cacheFields count="9">
    <cacheField name="Employee_ID" numFmtId="0">
      <sharedItems count="100">
        <s v="EMP001"/>
        <s v="EMP002"/>
        <s v="EMP003"/>
        <s v="EMP004"/>
        <s v="EMP005"/>
        <s v="EMP006"/>
        <s v="EMP007"/>
        <s v="EMP008"/>
        <s v="EMP009"/>
        <s v="EMP010"/>
        <s v="EMP011"/>
        <s v="EMP012"/>
        <s v="EMP013"/>
        <s v="EMP014"/>
        <s v="EMP015"/>
        <s v="EMP016"/>
        <s v="EMP017"/>
        <s v="EMP018"/>
        <s v="EMP019"/>
        <s v="EMP020"/>
        <s v="EMP021"/>
        <s v="EMP022"/>
        <s v="EMP023"/>
        <s v="EMP024"/>
        <s v="EMP025"/>
        <s v="EMP026"/>
        <s v="EMP027"/>
        <s v="EMP028"/>
        <s v="EMP029"/>
        <s v="EMP030"/>
        <s v="EMP031"/>
        <s v="EMP032"/>
        <s v="EMP033"/>
        <s v="EMP034"/>
        <s v="EMP035"/>
        <s v="EMP036"/>
        <s v="EMP037"/>
        <s v="EMP038"/>
        <s v="EMP039"/>
        <s v="EMP040"/>
        <s v="EMP041"/>
        <s v="EMP042"/>
        <s v="EMP043"/>
        <s v="EMP044"/>
        <s v="EMP045"/>
        <s v="EMP046"/>
        <s v="EMP047"/>
        <s v="EMP048"/>
        <s v="EMP049"/>
        <s v="EMP050"/>
        <s v="EMP051"/>
        <s v="EMP052"/>
        <s v="EMP053"/>
        <s v="EMP054"/>
        <s v="EMP055"/>
        <s v="EMP056"/>
        <s v="EMP057"/>
        <s v="EMP058"/>
        <s v="EMP059"/>
        <s v="EMP060"/>
        <s v="EMP061"/>
        <s v="EMP062"/>
        <s v="EMP063"/>
        <s v="EMP064"/>
        <s v="EMP065"/>
        <s v="EMP066"/>
        <s v="EMP067"/>
        <s v="EMP068"/>
        <s v="EMP069"/>
        <s v="EMP070"/>
        <s v="EMP071"/>
        <s v="EMP072"/>
        <s v="EMP073"/>
        <s v="EMP074"/>
        <s v="EMP075"/>
        <s v="EMP076"/>
        <s v="EMP077"/>
        <s v="EMP078"/>
        <s v="EMP079"/>
        <s v="EMP080"/>
        <s v="EMP081"/>
        <s v="EMP082"/>
        <s v="EMP083"/>
        <s v="EMP084"/>
        <s v="EMP085"/>
        <s v="EMP086"/>
        <s v="EMP087"/>
        <s v="EMP088"/>
        <s v="EMP089"/>
        <s v="EMP090"/>
        <s v="EMP091"/>
        <s v="EMP092"/>
        <s v="EMP093"/>
        <s v="EMP094"/>
        <s v="EMP095"/>
        <s v="EMP096"/>
        <s v="EMP097"/>
        <s v="EMP098"/>
        <s v="EMP099"/>
        <s v="EMP100"/>
      </sharedItems>
    </cacheField>
    <cacheField name="Department" numFmtId="0">
      <sharedItems count="5">
        <s v="Sales"/>
        <s v="Engineering"/>
        <s v="Marketing"/>
        <s v="HR"/>
        <s v="Finance"/>
      </sharedItems>
    </cacheField>
    <cacheField name="Job_Level" numFmtId="0">
      <sharedItems count="3">
        <s v="Junior"/>
        <s v="Mid"/>
        <s v="Senior"/>
      </sharedItems>
    </cacheField>
    <cacheField name="YOE (Years)" numFmtId="0">
      <sharedItems containsSemiMixedTypes="0" containsString="0" containsNumber="1" containsInteger="1" minValue="1" maxValue="14" count="14">
        <n v="2"/>
        <n v="5"/>
        <n v="8"/>
        <n v="1"/>
        <n v="10"/>
        <n v="6"/>
        <n v="9"/>
        <n v="3"/>
        <n v="4"/>
        <n v="12"/>
        <n v="7"/>
        <n v="11"/>
        <n v="14"/>
        <n v="13"/>
      </sharedItems>
    </cacheField>
    <cacheField name="Performance_Rating (1-5)" numFmtId="0">
      <sharedItems containsSemiMixedTypes="0" containsString="0" containsNumber="1" containsInteger="1" minValue="2" maxValue="5" count="4">
        <n v="3"/>
        <n v="4"/>
        <n v="5"/>
        <n v="2"/>
      </sharedItems>
    </cacheField>
    <cacheField name="Annual_Salary_USD" numFmtId="3">
      <sharedItems containsSemiMixedTypes="0" containsString="0" containsNumber="1" containsInteger="1" minValue="48000" maxValue="155000" count="56">
        <n v="55000"/>
        <n v="95000"/>
        <n v="115000"/>
        <n v="48000"/>
        <n v="140000"/>
        <n v="85000"/>
        <n v="110000"/>
        <n v="78000"/>
        <n v="70000"/>
        <n v="105000"/>
        <n v="60000"/>
        <n v="135000"/>
        <n v="72000"/>
        <n v="58000"/>
        <n v="92000"/>
        <n v="68000"/>
        <n v="125000"/>
        <n v="98000"/>
        <n v="82000"/>
        <n v="52000"/>
        <n v="145000"/>
        <n v="80000"/>
        <n v="50000"/>
        <n v="96000"/>
        <n v="108000"/>
        <n v="118000"/>
        <n v="130000"/>
        <n v="120000"/>
        <n v="88000"/>
        <n v="62000"/>
        <n v="54000"/>
        <n v="138000"/>
        <n v="74000"/>
        <n v="76000"/>
        <n v="79000"/>
        <n v="99000"/>
        <n v="84000"/>
        <n v="150000"/>
        <n v="83000"/>
        <n v="102000"/>
        <n v="122000"/>
        <n v="75000"/>
        <n v="148000"/>
        <n v="66000"/>
        <n v="106000"/>
        <n v="94000"/>
        <n v="112000"/>
        <n v="90000"/>
        <n v="49000"/>
        <n v="136000"/>
        <n v="128000"/>
        <n v="64000"/>
        <n v="56000"/>
        <n v="97000"/>
        <n v="155000"/>
        <n v="59000"/>
      </sharedItems>
    </cacheField>
    <cacheField name="Bonus_Percentage" numFmtId="9">
      <sharedItems containsSemiMixedTypes="0" containsString="0" containsNumber="1" minValue="0" maxValue="0.25" count="19">
        <n v="0.05"/>
        <n v="0.12"/>
        <n v="0.2"/>
        <n v="0"/>
        <n v="0.15"/>
        <n v="7.0000000000000007E-2"/>
        <n v="0.22"/>
        <n v="0.1"/>
        <n v="0.04"/>
        <n v="0.18"/>
        <n v="0.02"/>
        <n v="0.08"/>
        <n v="0.06"/>
        <n v="0.14000000000000001"/>
        <n v="0.25"/>
        <n v="0.11"/>
        <n v="0.09"/>
        <n v="0.16"/>
        <n v="0.13"/>
      </sharedItems>
    </cacheField>
    <cacheField name="Bonas_Salary" numFmtId="0">
      <sharedItems containsSemiMixedTypes="0" containsString="0" containsNumber="1" minValue="0" maxValue="38750" count="83">
        <n v="2750"/>
        <n v="11400"/>
        <n v="23000"/>
        <n v="0"/>
        <n v="21000"/>
        <n v="5950.0000000000009"/>
        <n v="24200"/>
        <n v="7800"/>
        <n v="3500"/>
        <n v="12600"/>
        <n v="2400"/>
        <n v="24300"/>
        <n v="1440"/>
        <n v="4640"/>
        <n v="5520"/>
        <n v="3400"/>
        <n v="25000"/>
        <n v="13720.000000000002"/>
        <n v="8200"/>
        <n v="2080"/>
        <n v="36250"/>
        <n v="9600"/>
        <n v="2500"/>
        <n v="10560"/>
        <n v="7560.0000000000009"/>
        <n v="21240"/>
        <n v="12300"/>
        <n v="2320"/>
        <n v="15750"/>
        <n v="10400"/>
        <n v="6480"/>
        <n v="26400"/>
        <n v="4960"/>
        <n v="18200"/>
        <n v="2700"/>
        <n v="27600"/>
        <n v="4440"/>
        <n v="8360"/>
        <n v="7110"/>
        <n v="5880"/>
        <n v="3850.0000000000005"/>
        <n v="28750"/>
        <n v="11880"/>
        <n v="4200"/>
        <n v="24000"/>
        <n v="4980"/>
        <n v="12240"/>
        <n v="24400"/>
        <n v="2880"/>
        <n v="7500"/>
        <n v="32560"/>
        <n v="5280"/>
        <n v="6720.0000000000009"/>
        <n v="13780"/>
        <n v="5640"/>
        <n v="15680.000000000002"/>
        <n v="9900"/>
        <n v="1960"/>
        <n v="8000"/>
        <n v="19040"/>
        <n v="10240"/>
        <n v="17600"/>
        <n v="3100"/>
        <n v="18900"/>
        <n v="5760"/>
        <n v="16800"/>
        <n v="18360"/>
        <n v="4800"/>
        <n v="7350.0000000000009"/>
        <n v="2800"/>
        <n v="4480"/>
        <n v="15300"/>
        <n v="12610"/>
        <n v="16520"/>
        <n v="4500"/>
        <n v="7700.0000000000009"/>
        <n v="12960"/>
        <n v="18800"/>
        <n v="3900"/>
        <n v="38750"/>
        <n v="2360"/>
        <n v="9240"/>
        <n v="20400"/>
      </sharedItems>
    </cacheField>
    <cacheField name="Total_Annual_Salary_USD" numFmtId="3">
      <sharedItems containsSemiMixedTypes="0" containsString="0" containsNumber="1" containsInteger="1" minValue="48000" maxValue="193750"/>
    </cacheField>
  </cacheFields>
  <extLst>
    <ext xmlns:x14="http://schemas.microsoft.com/office/spreadsheetml/2009/9/main" uri="{725AE2AE-9491-48be-B2B4-4EB974FC3084}">
      <x14:pivotCacheDefinition pivotCacheId="6144059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6256018519" backgroundQuery="1" createdVersion="8" refreshedVersion="8" minRefreshableVersion="3" recordCount="0" supportSubquery="1" supportAdvancedDrill="1" xr:uid="{85FAC116-7C99-47BD-8E27-E454F822D96E}">
  <cacheSource type="external" connectionId="1"/>
  <cacheFields count="3">
    <cacheField name="[Range].[Department].[Department]" caption="Department" numFmtId="0" hierarchy="1" level="1">
      <sharedItems count="5">
        <s v="Engineering"/>
        <s v="Finance"/>
        <s v="HR"/>
        <s v="Marketing"/>
        <s v="Sales"/>
      </sharedItems>
    </cacheField>
    <cacheField name="[Measures].[Sum of Annual_Salary_USD]" caption="Sum of Annual_Salary_USD" numFmtId="0" hierarchy="26" level="32767"/>
    <cacheField name="[Measures].[Count of Employee_ID]" caption="Count of Employee_ID" numFmtId="0" hierarchy="23"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32264930557" backgroundQuery="1" createdVersion="8" refreshedVersion="8" minRefreshableVersion="3" recordCount="0" supportSubquery="1" supportAdvancedDrill="1" xr:uid="{5658A84D-BEE9-4798-B17B-0198C90A520C}">
  <cacheSource type="external" connectionId="1"/>
  <cacheFields count="4">
    <cacheField name="[Range 1].[Department].[Department]" caption="Department" numFmtId="0" hierarchy="10" level="1">
      <sharedItems count="5">
        <s v="Engineering"/>
        <s v="Finance"/>
        <s v="HR"/>
        <s v="Marketing"/>
        <s v="Sales"/>
      </sharedItems>
    </cacheField>
    <cacheField name="[Measures].[Sum of Performance_Rating (1-5) 2]" caption="Sum of Performance_Rating (1-5) 2" numFmtId="0" hierarchy="29" level="32767"/>
    <cacheField name="[Measures].[Sum of Bonas_Salary 2]" caption="Sum of Bonas_Salary 2" numFmtId="0" hierarchy="31" level="32767"/>
    <cacheField name="[Measures].[Sum of Bonus_Percentage]" caption="Sum of Bonus_Percentage" numFmtId="0" hierarchy="30"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2" memberValueDatatype="130" unbalanced="0">
      <fieldsUsage count="2">
        <fieldUsage x="-1"/>
        <fieldUsage x="0"/>
      </fieldsUsage>
    </cacheHierarchy>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2"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2" memberValueDatatype="5" unbalanced="0"/>
    <cacheHierarchy uniqueName="[Range 1].[Bonas_Salary]" caption="Bonas_Salary" attribute="1" defaultMemberUniqueName="[Range 1].[Bonas_Salary].[All]" allUniqueName="[Range 1].[Bonas_Salary].[All]" dimensionUniqueName="[Range 1]" displayFolder="" count="2"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6256018519" backgroundQuery="1" createdVersion="8" refreshedVersion="8" minRefreshableVersion="3" recordCount="0" supportSubquery="1" supportAdvancedDrill="1" xr:uid="{1930FF57-2B03-4F55-837D-FC3F4DD5D59F}">
  <cacheSource type="external" connectionId="1"/>
  <cacheFields count="3">
    <cacheField name="[Range].[Department].[Department]" caption="Department" numFmtId="0" hierarchy="1" level="1">
      <sharedItems count="5">
        <s v="Engineering"/>
        <s v="Finance"/>
        <s v="HR"/>
        <s v="Marketing"/>
        <s v="Sales"/>
      </sharedItems>
    </cacheField>
    <cacheField name="[Measures].[Sum of Annual_Salary_USD]" caption="Sum of Annual_Salary_USD" numFmtId="0" hierarchy="26" level="32767"/>
    <cacheField name="[Measures].[Count of Employee_ID]" caption="Count of Employee_ID" numFmtId="0" hierarchy="23"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oneField="1" hidden="1">
      <fieldsUsage count="1">
        <fieldUsage x="1"/>
      </fieldsUsage>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9678935182" backgroundQuery="1" createdVersion="8" refreshedVersion="8" minRefreshableVersion="3" recordCount="0" supportSubquery="1" supportAdvancedDrill="1" xr:uid="{E8B7432D-C036-414A-9F43-0C47AA63878E}">
  <cacheSource type="external" connectionId="1"/>
  <cacheFields count="4">
    <cacheField name="[Range].[Job_Level].[Job_Level]" caption="Job_Level" numFmtId="0" hierarchy="2" level="1">
      <sharedItems count="3">
        <s v="Junior"/>
        <s v="Mid"/>
        <s v="Senior"/>
      </sharedItems>
    </cacheField>
    <cacheField name="[Measures].[Sum of Total_Annual_Salary_USD]" caption="Sum of Total_Annual_Salary_USD" numFmtId="0" hierarchy="24" level="32767"/>
    <cacheField name="[Measures].[Sum of YOE (Years)]" caption="Sum of YOE (Years)" numFmtId="0" hierarchy="22" level="32767"/>
    <cacheField name="[Range].[Department].[Department]" caption="Department" numFmtId="0" hierarchy="1" level="1">
      <sharedItems count="5">
        <s v="Engineering"/>
        <s v="Finance"/>
        <s v="HR"/>
        <s v="Marketing"/>
        <s v="Sales"/>
      </sharedItems>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3"/>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0"/>
      </fieldsUsage>
    </cacheHierarchy>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29678935182" backgroundQuery="1" createdVersion="8" refreshedVersion="8" minRefreshableVersion="3" recordCount="0" supportSubquery="1" supportAdvancedDrill="1" xr:uid="{7A5FF449-1E74-4A34-BD91-841CDBDDF0D8}">
  <cacheSource type="external" connectionId="1"/>
  <cacheFields count="4">
    <cacheField name="[Range].[Job_Level].[Job_Level]" caption="Job_Level" numFmtId="0" hierarchy="2" level="1">
      <sharedItems count="3">
        <s v="Junior"/>
        <s v="Mid"/>
        <s v="Senior"/>
      </sharedItems>
    </cacheField>
    <cacheField name="[Measures].[Sum of Total_Annual_Salary_USD]" caption="Sum of Total_Annual_Salary_USD" numFmtId="0" hierarchy="24" level="32767"/>
    <cacheField name="[Measures].[Sum of YOE (Years)]" caption="Sum of YOE (Years)" numFmtId="0" hierarchy="22" level="32767"/>
    <cacheField name="[Range].[Department].[Department]" caption="Department" numFmtId="0" hierarchy="1" level="1">
      <sharedItems count="5">
        <s v="Engineering"/>
        <s v="Finance"/>
        <s v="HR"/>
        <s v="Marketing"/>
        <s v="Sales"/>
      </sharedItems>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3"/>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0"/>
      </fieldsUsage>
    </cacheHierarchy>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02714583334" backgroundQuery="1" createdVersion="3" refreshedVersion="8" minRefreshableVersion="3" recordCount="0" supportSubquery="1" supportAdvancedDrill="1" xr:uid="{A4CA08FB-7912-416A-89B5-7E300C647FEB}">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0" memberValueDatatype="130" unbalanced="0"/>
    <cacheHierarchy uniqueName="[Range].[Job_Level]" caption="Job_Level" attribute="1" defaultMemberUniqueName="[Range].[Job_Level].[All]" allUniqueName="[Range].[Job_Level].[All]" dimensionUniqueName="[Range]" displayFolder="" count="0" memberValueDatatype="130" unbalanced="0"/>
    <cacheHierarchy uniqueName="[Range].[YOE (Years)]" caption="YOE (Years)" attribute="1" defaultMemberUniqueName="[Range].[YOE (Years)].[All]" allUniqueName="[Range].[YOE (Years)].[All]" dimensionUniqueName="[Range]" displayFolder="" count="0"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hidden="1">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slicerData="1" pivotCacheId="1217778035"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0.737492245367" backgroundQuery="1" createdVersion="8" refreshedVersion="8" minRefreshableVersion="3" recordCount="0" supportSubquery="1" supportAdvancedDrill="1" xr:uid="{D635DA08-C1FC-4AF5-9809-65431A560F71}">
  <cacheSource type="external" connectionId="1">
    <extLst>
      <ext xmlns:x14="http://schemas.microsoft.com/office/spreadsheetml/2009/9/main" uri="{F057638F-6D5F-4e77-A914-E7F072B9BCA8}">
        <x14:sourceConnection name="ThisWorkbookDataModel"/>
      </ext>
    </extLst>
  </cacheSource>
  <cacheFields count="4">
    <cacheField name="[Range].[Department].[Department]" caption="Department" numFmtId="0" hierarchy="1" level="1">
      <sharedItems count="5">
        <s v="Engineering"/>
        <s v="Finance"/>
        <s v="HR"/>
        <s v="Marketing"/>
        <s v="Sales"/>
      </sharedItems>
    </cacheField>
    <cacheField name="[Measures].[Sum of Total_Annual_Salary_USD]" caption="Sum of Total_Annual_Salary_USD" numFmtId="0" hierarchy="24" level="32767"/>
    <cacheField name="[Range].[Job_Level].[Job_Level]" caption="Job_Level" numFmtId="0" hierarchy="2" level="1">
      <sharedItems count="3">
        <s v="Junior"/>
        <s v="Mid"/>
        <s v="Senior"/>
      </sharedItems>
    </cacheField>
    <cacheField name="[Measures].[Sum of YOE (Years)]" caption="Sum of YOE (Years)" numFmtId="0" hierarchy="22" level="32767"/>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0"/>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2"/>
      </fieldsUsage>
    </cacheHierarchy>
    <cacheHierarchy uniqueName="[Range].[YOE (Years)]" caption="YOE (Years)" attribute="1" defaultMemberUniqueName="[Range].[YOE (Years)].[All]" allUniqueName="[Range].[YOE (Years)].[All]" dimensionUniqueName="[Range]" displayFolder="" count="2" memberValueDatatype="20" unbalanced="0"/>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2"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oneField="1" hidden="1">
      <fieldsUsage count="1">
        <fieldUsage x="3"/>
      </fieldsUsage>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hidden="1">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pivotCacheId="169693132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1.610800000002" backgroundQuery="1" createdVersion="8" refreshedVersion="8" minRefreshableVersion="3" recordCount="0" supportSubquery="1" supportAdvancedDrill="1" xr:uid="{426A9524-52FB-42C6-AD26-CC937E9DC088}">
  <cacheSource type="external" connectionId="1">
    <extLst>
      <ext xmlns:x14="http://schemas.microsoft.com/office/spreadsheetml/2009/9/main" uri="{F057638F-6D5F-4e77-A914-E7F072B9BCA8}">
        <x14:sourceConnection name="ThisWorkbookDataModel"/>
      </ext>
    </extLst>
  </cacheSource>
  <cacheFields count="5">
    <cacheField name="[Range].[Job_Level].[Job_Level]" caption="Job_Level" numFmtId="0" hierarchy="2" level="1">
      <sharedItems count="3">
        <s v="Junior"/>
        <s v="Mid"/>
        <s v="Senior"/>
      </sharedItems>
    </cacheField>
    <cacheField name="[Measures].[Sum of Total_Annual_Salary_USD]" caption="Sum of Total_Annual_Salary_USD" numFmtId="0" hierarchy="24" level="32767"/>
    <cacheField name="[Measures].[Sum of Annual_Salary_USD]" caption="Sum of Annual_Salary_USD" numFmtId="0" hierarchy="26" level="32767"/>
    <cacheField name="[Range].[YOE (Years)].[YOE (Years)]" caption="YOE (Years)" numFmtId="0" hierarchy="3" level="1">
      <sharedItems containsSemiMixedTypes="0" containsNonDate="0" containsString="0"/>
    </cacheField>
    <cacheField name="[Range].[Department].[Department]" caption="Department" numFmtId="0" hierarchy="1" level="1">
      <sharedItems containsSemiMixedTypes="0" containsNonDate="0" containsString="0"/>
    </cacheField>
  </cacheFields>
  <cacheHierarchies count="33">
    <cacheHierarchy uniqueName="[Range].[Employee_ID]" caption="Employee_ID" attribute="1" defaultMemberUniqueName="[Range].[Employee_ID].[All]" allUniqueName="[Range].[Employee_ID].[All]" dimensionUniqueName="[Range]" displayFolder="" count="0" memberValueDatatype="130" unbalanced="0"/>
    <cacheHierarchy uniqueName="[Range].[Department]" caption="Department" attribute="1" defaultMemberUniqueName="[Range].[Department].[All]" allUniqueName="[Range].[Department].[All]" dimensionUniqueName="[Range]" displayFolder="" count="2" memberValueDatatype="130" unbalanced="0">
      <fieldsUsage count="2">
        <fieldUsage x="-1"/>
        <fieldUsage x="4"/>
      </fieldsUsage>
    </cacheHierarchy>
    <cacheHierarchy uniqueName="[Range].[Job_Level]" caption="Job_Level" attribute="1" defaultMemberUniqueName="[Range].[Job_Level].[All]" allUniqueName="[Range].[Job_Level].[All]" dimensionUniqueName="[Range]" displayFolder="" count="2" memberValueDatatype="130" unbalanced="0">
      <fieldsUsage count="2">
        <fieldUsage x="-1"/>
        <fieldUsage x="0"/>
      </fieldsUsage>
    </cacheHierarchy>
    <cacheHierarchy uniqueName="[Range].[YOE (Years)]" caption="YOE (Years)" attribute="1" defaultMemberUniqueName="[Range].[YOE (Years)].[All]" allUniqueName="[Range].[YOE (Years)].[All]" dimensionUniqueName="[Range]" displayFolder="" count="2" memberValueDatatype="20" unbalanced="0">
      <fieldsUsage count="2">
        <fieldUsage x="-1"/>
        <fieldUsage x="3"/>
      </fieldsUsage>
    </cacheHierarchy>
    <cacheHierarchy uniqueName="[Range].[Performance_Rating (1-5)]" caption="Performance_Rating (1-5)" attribute="1" defaultMemberUniqueName="[Range].[Performance_Rating (1-5)].[All]" allUniqueName="[Range].[Performance_Rating (1-5)].[All]" dimensionUniqueName="[Range]" displayFolder="" count="0" memberValueDatatype="20" unbalanced="0"/>
    <cacheHierarchy uniqueName="[Range].[Annual_Salary_USD]" caption="Annual_Salary_USD" attribute="1" defaultMemberUniqueName="[Range].[Annual_Salary_USD].[All]" allUniqueName="[Range].[Annual_Salary_USD].[All]" dimensionUniqueName="[Range]" displayFolder="" count="0" memberValueDatatype="20" unbalanced="0"/>
    <cacheHierarchy uniqueName="[Range].[Bonus_Percentage]" caption="Bonus_Percentage" attribute="1" defaultMemberUniqueName="[Range].[Bonus_Percentage].[All]" allUniqueName="[Range].[Bonus_Percentage].[All]" dimensionUniqueName="[Range]" displayFolder="" count="0" memberValueDatatype="5" unbalanced="0"/>
    <cacheHierarchy uniqueName="[Range].[Bonas_Salary]" caption="Bonas_Salary" attribute="1" defaultMemberUniqueName="[Range].[Bonas_Salary].[All]" allUniqueName="[Range].[Bonas_Salary].[All]" dimensionUniqueName="[Range]" displayFolder="" count="0" memberValueDatatype="5" unbalanced="0"/>
    <cacheHierarchy uniqueName="[Range].[Total_Annual_Salary_USD]" caption="Total_Annual_Salary_USD" attribute="1" defaultMemberUniqueName="[Range].[Total_Annual_Salary_USD].[All]" allUniqueName="[Range].[Total_Annual_Salary_USD].[All]" dimensionUniqueName="[Range]" displayFolder="" count="0" memberValueDatatype="20" unbalanced="0"/>
    <cacheHierarchy uniqueName="[Range 1].[Employee_ID]" caption="Employee_ID" attribute="1" defaultMemberUniqueName="[Range 1].[Employee_ID].[All]" allUniqueName="[Range 1].[Employee_ID].[All]" dimensionUniqueName="[Range 1]" displayFolder="" count="0" memberValueDatatype="130" unbalanced="0"/>
    <cacheHierarchy uniqueName="[Range 1].[Department]" caption="Department" attribute="1" defaultMemberUniqueName="[Range 1].[Department].[All]" allUniqueName="[Range 1].[Department].[All]" dimensionUniqueName="[Range 1]" displayFolder="" count="0" memberValueDatatype="130" unbalanced="0"/>
    <cacheHierarchy uniqueName="[Range 1].[Job_Level]" caption="Job_Level" attribute="1" defaultMemberUniqueName="[Range 1].[Job_Level].[All]" allUniqueName="[Range 1].[Job_Level].[All]" dimensionUniqueName="[Range 1]" displayFolder="" count="0" memberValueDatatype="130" unbalanced="0"/>
    <cacheHierarchy uniqueName="[Range 1].[YOE (Years)]" caption="YOE (Years)" attribute="1" defaultMemberUniqueName="[Range 1].[YOE (Years)].[All]" allUniqueName="[Range 1].[YOE (Years)].[All]" dimensionUniqueName="[Range 1]" displayFolder="" count="0" memberValueDatatype="20" unbalanced="0"/>
    <cacheHierarchy uniqueName="[Range 1].[Performance_Rating (1-5)]" caption="Performance_Rating (1-5)" attribute="1" defaultMemberUniqueName="[Range 1].[Performance_Rating (1-5)].[All]" allUniqueName="[Range 1].[Performance_Rating (1-5)].[All]" dimensionUniqueName="[Range 1]" displayFolder="" count="0" memberValueDatatype="20" unbalanced="0"/>
    <cacheHierarchy uniqueName="[Range 1].[Annual_Salary_USD]" caption="Annual_Salary_USD" attribute="1" defaultMemberUniqueName="[Range 1].[Annual_Salary_USD].[All]" allUniqueName="[Range 1].[Annual_Salary_USD].[All]" dimensionUniqueName="[Range 1]" displayFolder="" count="0" memberValueDatatype="20" unbalanced="0"/>
    <cacheHierarchy uniqueName="[Range 1].[Bonus_Percentage]" caption="Bonus_Percentage" attribute="1" defaultMemberUniqueName="[Range 1].[Bonus_Percentage].[All]" allUniqueName="[Range 1].[Bonus_Percentage].[All]" dimensionUniqueName="[Range 1]" displayFolder="" count="0" memberValueDatatype="5" unbalanced="0"/>
    <cacheHierarchy uniqueName="[Range 1].[Bonas_Salary]" caption="Bonas_Salary" attribute="1" defaultMemberUniqueName="[Range 1].[Bonas_Salary].[All]" allUniqueName="[Range 1].[Bonas_Salary].[All]" dimensionUniqueName="[Range 1]" displayFolder="" count="0" memberValueDatatype="5" unbalanced="0"/>
    <cacheHierarchy uniqueName="[Range 1].[Total_Annual_Salary_USD]" caption="Total_Annual_Salary_USD" attribute="1" defaultMemberUniqueName="[Range 1].[Total_Annual_Salary_USD].[All]" allUniqueName="[Range 1].[Total_Annual_Salary_USD].[All]" dimensionUniqueName="[Range 1]" displayFolder="" count="0" memberValueDatatype="20" unbalanced="0"/>
    <cacheHierarchy uniqueName="[Measures].[__XL_Count Range]" caption="__XL_Count Range" measure="1" displayFolder="" measureGroup="Range"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Performance_Rating (1-5)]" caption="Sum of Performance_Rating (1-5)" measure="1" displayFolder="" measureGroup="Range" count="0" hidden="1">
      <extLst>
        <ext xmlns:x15="http://schemas.microsoft.com/office/spreadsheetml/2010/11/main" uri="{B97F6D7D-B522-45F9-BDA1-12C45D357490}">
          <x15:cacheHierarchy aggregatedColumn="4"/>
        </ext>
      </extLst>
    </cacheHierarchy>
    <cacheHierarchy uniqueName="[Measures].[Sum of YOE (Years)]" caption="Sum of YOE (Years)" measure="1" displayFolder="" measureGroup="Range" count="0" hidden="1">
      <extLst>
        <ext xmlns:x15="http://schemas.microsoft.com/office/spreadsheetml/2010/11/main" uri="{B97F6D7D-B522-45F9-BDA1-12C45D357490}">
          <x15:cacheHierarchy aggregatedColumn="3"/>
        </ext>
      </extLst>
    </cacheHierarchy>
    <cacheHierarchy uniqueName="[Measures].[Count of Employee_ID]" caption="Count of Employee_ID" measure="1" displayFolder="" measureGroup="Range" count="0" hidden="1">
      <extLst>
        <ext xmlns:x15="http://schemas.microsoft.com/office/spreadsheetml/2010/11/main" uri="{B97F6D7D-B522-45F9-BDA1-12C45D357490}">
          <x15:cacheHierarchy aggregatedColumn="0"/>
        </ext>
      </extLst>
    </cacheHierarchy>
    <cacheHierarchy uniqueName="[Measures].[Sum of Total_Annual_Salary_USD]" caption="Sum of Total_Annual_Salary_USD"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Job_Level]" caption="Count of Job_Level" measure="1" displayFolder="" measureGroup="Range" count="0" hidden="1">
      <extLst>
        <ext xmlns:x15="http://schemas.microsoft.com/office/spreadsheetml/2010/11/main" uri="{B97F6D7D-B522-45F9-BDA1-12C45D357490}">
          <x15:cacheHierarchy aggregatedColumn="2"/>
        </ext>
      </extLst>
    </cacheHierarchy>
    <cacheHierarchy uniqueName="[Measures].[Sum of Annual_Salary_USD]" caption="Sum of Annual_Salary_USD" measure="1" displayFolder="" measureGroup="Range" count="0" oneField="1" hidden="1">
      <fieldsUsage count="1">
        <fieldUsage x="2"/>
      </fieldsUsage>
      <extLst>
        <ext xmlns:x15="http://schemas.microsoft.com/office/spreadsheetml/2010/11/main" uri="{B97F6D7D-B522-45F9-BDA1-12C45D357490}">
          <x15:cacheHierarchy aggregatedColumn="5"/>
        </ext>
      </extLst>
    </cacheHierarchy>
    <cacheHierarchy uniqueName="[Measures].[Count of Department]" caption="Count of Department" measure="1" displayFolder="" measureGroup="Range" count="0" hidden="1">
      <extLst>
        <ext xmlns:x15="http://schemas.microsoft.com/office/spreadsheetml/2010/11/main" uri="{B97F6D7D-B522-45F9-BDA1-12C45D357490}">
          <x15:cacheHierarchy aggregatedColumn="1"/>
        </ext>
      </extLst>
    </cacheHierarchy>
    <cacheHierarchy uniqueName="[Measures].[Sum of Bonas_Salary]" caption="Sum of Bonas_Salary" measure="1" displayFolder="" measureGroup="Range" count="0" hidden="1">
      <extLst>
        <ext xmlns:x15="http://schemas.microsoft.com/office/spreadsheetml/2010/11/main" uri="{B97F6D7D-B522-45F9-BDA1-12C45D357490}">
          <x15:cacheHierarchy aggregatedColumn="7"/>
        </ext>
      </extLst>
    </cacheHierarchy>
    <cacheHierarchy uniqueName="[Measures].[Sum of Performance_Rating (1-5) 2]" caption="Sum of Performance_Rating (1-5) 2" measure="1" displayFolder="" measureGroup="Range 1" count="0" hidden="1">
      <extLst>
        <ext xmlns:x15="http://schemas.microsoft.com/office/spreadsheetml/2010/11/main" uri="{B97F6D7D-B522-45F9-BDA1-12C45D357490}">
          <x15:cacheHierarchy aggregatedColumn="13"/>
        </ext>
      </extLst>
    </cacheHierarchy>
    <cacheHierarchy uniqueName="[Measures].[Sum of Bonus_Percentage]" caption="Sum of Bonus_Percentage" measure="1" displayFolder="" measureGroup="Range 1" count="0" hidden="1">
      <extLst>
        <ext xmlns:x15="http://schemas.microsoft.com/office/spreadsheetml/2010/11/main" uri="{B97F6D7D-B522-45F9-BDA1-12C45D357490}">
          <x15:cacheHierarchy aggregatedColumn="15"/>
        </ext>
      </extLst>
    </cacheHierarchy>
    <cacheHierarchy uniqueName="[Measures].[Sum of Bonas_Salary 2]" caption="Sum of Bonas_Salary 2" measure="1" displayFolder="" measureGroup="Range 1" count="0" hidden="1">
      <extLst>
        <ext xmlns:x15="http://schemas.microsoft.com/office/spreadsheetml/2010/11/main" uri="{B97F6D7D-B522-45F9-BDA1-12C45D357490}">
          <x15:cacheHierarchy aggregatedColumn="16"/>
        </ext>
      </extLst>
    </cacheHierarchy>
    <cacheHierarchy uniqueName="[Measures].[Count of Department 2]" caption="Count of Department 2" measure="1" displayFolder="" measureGroup="Range 1" count="0" hidden="1">
      <extLst>
        <ext xmlns:x15="http://schemas.microsoft.com/office/spreadsheetml/2010/11/main" uri="{B97F6D7D-B522-45F9-BDA1-12C45D357490}">
          <x15:cacheHierarchy aggregatedColumn="10"/>
        </ext>
      </extLst>
    </cacheHierarchy>
  </cacheHierarchies>
  <kpis count="0"/>
  <dimensions count="3">
    <dimension measure="1" name="Measures" uniqueName="[Measures]" caption="Measures"/>
    <dimension name="Range" uniqueName="[Range]" caption="Range"/>
    <dimension name="Range 1" uniqueName="[Range 1]" caption="Range 1"/>
  </dimensions>
  <measureGroups count="2">
    <measureGroup name="Range" caption="Range"/>
    <measureGroup name="Range 1" caption="Range 1"/>
  </measureGroups>
  <maps count="2">
    <map measureGroup="0" dimension="1"/>
    <map measureGroup="1" dimension="2"/>
  </maps>
  <extLst>
    <ext xmlns:x14="http://schemas.microsoft.com/office/spreadsheetml/2009/9/main" uri="{725AE2AE-9491-48be-B2B4-4EB974FC3084}">
      <x14:pivotCacheDefinition pivotCacheId="27441525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x v="0"/>
    <x v="0"/>
    <x v="0"/>
    <x v="0"/>
    <x v="0"/>
    <x v="0"/>
    <n v="57750"/>
  </r>
  <r>
    <x v="1"/>
    <x v="1"/>
    <x v="1"/>
    <x v="1"/>
    <x v="1"/>
    <x v="1"/>
    <x v="1"/>
    <x v="1"/>
    <n v="106400"/>
  </r>
  <r>
    <x v="2"/>
    <x v="2"/>
    <x v="2"/>
    <x v="2"/>
    <x v="2"/>
    <x v="2"/>
    <x v="2"/>
    <x v="2"/>
    <n v="138000"/>
  </r>
  <r>
    <x v="3"/>
    <x v="3"/>
    <x v="0"/>
    <x v="3"/>
    <x v="3"/>
    <x v="3"/>
    <x v="3"/>
    <x v="3"/>
    <n v="48000"/>
  </r>
  <r>
    <x v="4"/>
    <x v="1"/>
    <x v="2"/>
    <x v="4"/>
    <x v="1"/>
    <x v="4"/>
    <x v="4"/>
    <x v="4"/>
    <n v="161000"/>
  </r>
  <r>
    <x v="5"/>
    <x v="4"/>
    <x v="1"/>
    <x v="5"/>
    <x v="0"/>
    <x v="5"/>
    <x v="5"/>
    <x v="5"/>
    <n v="90950"/>
  </r>
  <r>
    <x v="6"/>
    <x v="0"/>
    <x v="2"/>
    <x v="6"/>
    <x v="2"/>
    <x v="6"/>
    <x v="6"/>
    <x v="6"/>
    <n v="134200"/>
  </r>
  <r>
    <x v="7"/>
    <x v="1"/>
    <x v="0"/>
    <x v="7"/>
    <x v="1"/>
    <x v="7"/>
    <x v="7"/>
    <x v="7"/>
    <n v="85800"/>
  </r>
  <r>
    <x v="8"/>
    <x v="2"/>
    <x v="1"/>
    <x v="8"/>
    <x v="0"/>
    <x v="8"/>
    <x v="0"/>
    <x v="8"/>
    <n v="73500"/>
  </r>
  <r>
    <x v="9"/>
    <x v="3"/>
    <x v="2"/>
    <x v="9"/>
    <x v="1"/>
    <x v="9"/>
    <x v="1"/>
    <x v="9"/>
    <n v="117600"/>
  </r>
  <r>
    <x v="10"/>
    <x v="4"/>
    <x v="0"/>
    <x v="0"/>
    <x v="0"/>
    <x v="10"/>
    <x v="8"/>
    <x v="10"/>
    <n v="62400"/>
  </r>
  <r>
    <x v="11"/>
    <x v="1"/>
    <x v="2"/>
    <x v="10"/>
    <x v="2"/>
    <x v="11"/>
    <x v="9"/>
    <x v="11"/>
    <n v="159300"/>
  </r>
  <r>
    <x v="12"/>
    <x v="0"/>
    <x v="1"/>
    <x v="1"/>
    <x v="3"/>
    <x v="12"/>
    <x v="10"/>
    <x v="12"/>
    <n v="73440"/>
  </r>
  <r>
    <x v="13"/>
    <x v="2"/>
    <x v="0"/>
    <x v="0"/>
    <x v="1"/>
    <x v="13"/>
    <x v="11"/>
    <x v="13"/>
    <n v="62640"/>
  </r>
  <r>
    <x v="14"/>
    <x v="1"/>
    <x v="1"/>
    <x v="5"/>
    <x v="0"/>
    <x v="14"/>
    <x v="12"/>
    <x v="14"/>
    <n v="97520"/>
  </r>
  <r>
    <x v="15"/>
    <x v="3"/>
    <x v="1"/>
    <x v="1"/>
    <x v="0"/>
    <x v="15"/>
    <x v="0"/>
    <x v="15"/>
    <n v="71400"/>
  </r>
  <r>
    <x v="16"/>
    <x v="4"/>
    <x v="2"/>
    <x v="11"/>
    <x v="2"/>
    <x v="16"/>
    <x v="2"/>
    <x v="16"/>
    <n v="150000"/>
  </r>
  <r>
    <x v="17"/>
    <x v="0"/>
    <x v="2"/>
    <x v="2"/>
    <x v="1"/>
    <x v="17"/>
    <x v="13"/>
    <x v="17"/>
    <n v="111720"/>
  </r>
  <r>
    <x v="18"/>
    <x v="1"/>
    <x v="0"/>
    <x v="3"/>
    <x v="0"/>
    <x v="8"/>
    <x v="0"/>
    <x v="8"/>
    <n v="73500"/>
  </r>
  <r>
    <x v="19"/>
    <x v="2"/>
    <x v="2"/>
    <x v="4"/>
    <x v="3"/>
    <x v="1"/>
    <x v="3"/>
    <x v="3"/>
    <n v="95000"/>
  </r>
  <r>
    <x v="20"/>
    <x v="4"/>
    <x v="1"/>
    <x v="8"/>
    <x v="1"/>
    <x v="18"/>
    <x v="7"/>
    <x v="18"/>
    <n v="90200"/>
  </r>
  <r>
    <x v="21"/>
    <x v="3"/>
    <x v="0"/>
    <x v="7"/>
    <x v="0"/>
    <x v="19"/>
    <x v="8"/>
    <x v="19"/>
    <n v="54080"/>
  </r>
  <r>
    <x v="22"/>
    <x v="1"/>
    <x v="2"/>
    <x v="6"/>
    <x v="2"/>
    <x v="20"/>
    <x v="14"/>
    <x v="20"/>
    <n v="181250"/>
  </r>
  <r>
    <x v="23"/>
    <x v="0"/>
    <x v="1"/>
    <x v="5"/>
    <x v="1"/>
    <x v="21"/>
    <x v="1"/>
    <x v="21"/>
    <n v="89600"/>
  </r>
  <r>
    <x v="24"/>
    <x v="2"/>
    <x v="0"/>
    <x v="3"/>
    <x v="0"/>
    <x v="22"/>
    <x v="0"/>
    <x v="22"/>
    <n v="52500"/>
  </r>
  <r>
    <x v="25"/>
    <x v="1"/>
    <x v="1"/>
    <x v="1"/>
    <x v="1"/>
    <x v="23"/>
    <x v="15"/>
    <x v="23"/>
    <n v="106560"/>
  </r>
  <r>
    <x v="26"/>
    <x v="4"/>
    <x v="2"/>
    <x v="2"/>
    <x v="0"/>
    <x v="24"/>
    <x v="5"/>
    <x v="24"/>
    <n v="115560"/>
  </r>
  <r>
    <x v="27"/>
    <x v="0"/>
    <x v="0"/>
    <x v="0"/>
    <x v="3"/>
    <x v="19"/>
    <x v="3"/>
    <x v="3"/>
    <n v="52000"/>
  </r>
  <r>
    <x v="28"/>
    <x v="3"/>
    <x v="2"/>
    <x v="12"/>
    <x v="2"/>
    <x v="25"/>
    <x v="9"/>
    <x v="25"/>
    <n v="139240"/>
  </r>
  <r>
    <x v="29"/>
    <x v="1"/>
    <x v="0"/>
    <x v="0"/>
    <x v="2"/>
    <x v="18"/>
    <x v="4"/>
    <x v="26"/>
    <n v="94300"/>
  </r>
  <r>
    <x v="30"/>
    <x v="2"/>
    <x v="1"/>
    <x v="5"/>
    <x v="1"/>
    <x v="7"/>
    <x v="7"/>
    <x v="7"/>
    <n v="85800"/>
  </r>
  <r>
    <x v="31"/>
    <x v="4"/>
    <x v="0"/>
    <x v="3"/>
    <x v="0"/>
    <x v="13"/>
    <x v="8"/>
    <x v="27"/>
    <n v="60320"/>
  </r>
  <r>
    <x v="32"/>
    <x v="0"/>
    <x v="2"/>
    <x v="4"/>
    <x v="1"/>
    <x v="9"/>
    <x v="4"/>
    <x v="28"/>
    <n v="120750"/>
  </r>
  <r>
    <x v="33"/>
    <x v="1"/>
    <x v="2"/>
    <x v="11"/>
    <x v="0"/>
    <x v="26"/>
    <x v="11"/>
    <x v="29"/>
    <n v="140400"/>
  </r>
  <r>
    <x v="34"/>
    <x v="3"/>
    <x v="1"/>
    <x v="8"/>
    <x v="1"/>
    <x v="12"/>
    <x v="16"/>
    <x v="30"/>
    <n v="78480"/>
  </r>
  <r>
    <x v="35"/>
    <x v="2"/>
    <x v="2"/>
    <x v="6"/>
    <x v="2"/>
    <x v="27"/>
    <x v="6"/>
    <x v="31"/>
    <n v="146400"/>
  </r>
  <r>
    <x v="36"/>
    <x v="1"/>
    <x v="1"/>
    <x v="10"/>
    <x v="3"/>
    <x v="28"/>
    <x v="3"/>
    <x v="3"/>
    <n v="88000"/>
  </r>
  <r>
    <x v="37"/>
    <x v="0"/>
    <x v="0"/>
    <x v="7"/>
    <x v="1"/>
    <x v="29"/>
    <x v="11"/>
    <x v="32"/>
    <n v="66960"/>
  </r>
  <r>
    <x v="38"/>
    <x v="4"/>
    <x v="2"/>
    <x v="9"/>
    <x v="1"/>
    <x v="26"/>
    <x v="13"/>
    <x v="33"/>
    <n v="148200"/>
  </r>
  <r>
    <x v="39"/>
    <x v="3"/>
    <x v="0"/>
    <x v="0"/>
    <x v="0"/>
    <x v="30"/>
    <x v="0"/>
    <x v="34"/>
    <n v="56700"/>
  </r>
  <r>
    <x v="40"/>
    <x v="1"/>
    <x v="2"/>
    <x v="2"/>
    <x v="2"/>
    <x v="31"/>
    <x v="2"/>
    <x v="35"/>
    <n v="165600"/>
  </r>
  <r>
    <x v="41"/>
    <x v="2"/>
    <x v="1"/>
    <x v="1"/>
    <x v="0"/>
    <x v="32"/>
    <x v="12"/>
    <x v="36"/>
    <n v="78440"/>
  </r>
  <r>
    <x v="42"/>
    <x v="0"/>
    <x v="1"/>
    <x v="8"/>
    <x v="1"/>
    <x v="33"/>
    <x v="15"/>
    <x v="37"/>
    <n v="84360"/>
  </r>
  <r>
    <x v="43"/>
    <x v="4"/>
    <x v="0"/>
    <x v="7"/>
    <x v="3"/>
    <x v="29"/>
    <x v="3"/>
    <x v="3"/>
    <n v="62000"/>
  </r>
  <r>
    <x v="44"/>
    <x v="1"/>
    <x v="0"/>
    <x v="0"/>
    <x v="1"/>
    <x v="34"/>
    <x v="16"/>
    <x v="38"/>
    <n v="86110"/>
  </r>
  <r>
    <x v="45"/>
    <x v="3"/>
    <x v="2"/>
    <x v="4"/>
    <x v="0"/>
    <x v="17"/>
    <x v="12"/>
    <x v="39"/>
    <n v="103880"/>
  </r>
  <r>
    <x v="46"/>
    <x v="2"/>
    <x v="0"/>
    <x v="3"/>
    <x v="1"/>
    <x v="0"/>
    <x v="5"/>
    <x v="40"/>
    <n v="58850"/>
  </r>
  <r>
    <x v="47"/>
    <x v="0"/>
    <x v="2"/>
    <x v="11"/>
    <x v="2"/>
    <x v="2"/>
    <x v="14"/>
    <x v="41"/>
    <n v="143750"/>
  </r>
  <r>
    <x v="48"/>
    <x v="1"/>
    <x v="1"/>
    <x v="5"/>
    <x v="1"/>
    <x v="35"/>
    <x v="1"/>
    <x v="42"/>
    <n v="110880"/>
  </r>
  <r>
    <x v="49"/>
    <x v="4"/>
    <x v="1"/>
    <x v="1"/>
    <x v="0"/>
    <x v="36"/>
    <x v="0"/>
    <x v="43"/>
    <n v="88200"/>
  </r>
  <r>
    <x v="50"/>
    <x v="3"/>
    <x v="0"/>
    <x v="0"/>
    <x v="3"/>
    <x v="22"/>
    <x v="3"/>
    <x v="3"/>
    <n v="50000"/>
  </r>
  <r>
    <x v="51"/>
    <x v="1"/>
    <x v="2"/>
    <x v="13"/>
    <x v="1"/>
    <x v="37"/>
    <x v="17"/>
    <x v="44"/>
    <n v="174000"/>
  </r>
  <r>
    <x v="52"/>
    <x v="0"/>
    <x v="1"/>
    <x v="10"/>
    <x v="0"/>
    <x v="38"/>
    <x v="12"/>
    <x v="45"/>
    <n v="87980"/>
  </r>
  <r>
    <x v="53"/>
    <x v="2"/>
    <x v="2"/>
    <x v="2"/>
    <x v="1"/>
    <x v="39"/>
    <x v="1"/>
    <x v="46"/>
    <n v="114240"/>
  </r>
  <r>
    <x v="54"/>
    <x v="4"/>
    <x v="2"/>
    <x v="6"/>
    <x v="2"/>
    <x v="40"/>
    <x v="2"/>
    <x v="47"/>
    <n v="146400"/>
  </r>
  <r>
    <x v="55"/>
    <x v="1"/>
    <x v="0"/>
    <x v="3"/>
    <x v="0"/>
    <x v="12"/>
    <x v="8"/>
    <x v="48"/>
    <n v="74880"/>
  </r>
  <r>
    <x v="56"/>
    <x v="3"/>
    <x v="1"/>
    <x v="5"/>
    <x v="1"/>
    <x v="41"/>
    <x v="7"/>
    <x v="49"/>
    <n v="82500"/>
  </r>
  <r>
    <x v="57"/>
    <x v="0"/>
    <x v="0"/>
    <x v="3"/>
    <x v="0"/>
    <x v="30"/>
    <x v="0"/>
    <x v="34"/>
    <n v="56700"/>
  </r>
  <r>
    <x v="58"/>
    <x v="2"/>
    <x v="1"/>
    <x v="8"/>
    <x v="3"/>
    <x v="15"/>
    <x v="3"/>
    <x v="3"/>
    <n v="68000"/>
  </r>
  <r>
    <x v="59"/>
    <x v="1"/>
    <x v="2"/>
    <x v="9"/>
    <x v="2"/>
    <x v="42"/>
    <x v="6"/>
    <x v="50"/>
    <n v="180560"/>
  </r>
  <r>
    <x v="60"/>
    <x v="4"/>
    <x v="0"/>
    <x v="0"/>
    <x v="1"/>
    <x v="43"/>
    <x v="11"/>
    <x v="51"/>
    <n v="71280"/>
  </r>
  <r>
    <x v="61"/>
    <x v="0"/>
    <x v="2"/>
    <x v="6"/>
    <x v="0"/>
    <x v="23"/>
    <x v="5"/>
    <x v="52"/>
    <n v="102720"/>
  </r>
  <r>
    <x v="62"/>
    <x v="3"/>
    <x v="2"/>
    <x v="11"/>
    <x v="1"/>
    <x v="44"/>
    <x v="18"/>
    <x v="53"/>
    <n v="119780"/>
  </r>
  <r>
    <x v="63"/>
    <x v="1"/>
    <x v="1"/>
    <x v="1"/>
    <x v="0"/>
    <x v="45"/>
    <x v="12"/>
    <x v="54"/>
    <n v="99640"/>
  </r>
  <r>
    <x v="64"/>
    <x v="2"/>
    <x v="2"/>
    <x v="4"/>
    <x v="1"/>
    <x v="46"/>
    <x v="13"/>
    <x v="55"/>
    <n v="127680"/>
  </r>
  <r>
    <x v="65"/>
    <x v="4"/>
    <x v="1"/>
    <x v="10"/>
    <x v="1"/>
    <x v="47"/>
    <x v="15"/>
    <x v="56"/>
    <n v="99900"/>
  </r>
  <r>
    <x v="66"/>
    <x v="0"/>
    <x v="0"/>
    <x v="7"/>
    <x v="2"/>
    <x v="15"/>
    <x v="9"/>
    <x v="46"/>
    <n v="80240"/>
  </r>
  <r>
    <x v="67"/>
    <x v="1"/>
    <x v="0"/>
    <x v="0"/>
    <x v="3"/>
    <x v="32"/>
    <x v="3"/>
    <x v="3"/>
    <n v="74000"/>
  </r>
  <r>
    <x v="68"/>
    <x v="3"/>
    <x v="0"/>
    <x v="3"/>
    <x v="0"/>
    <x v="48"/>
    <x v="8"/>
    <x v="57"/>
    <n v="50960"/>
  </r>
  <r>
    <x v="69"/>
    <x v="2"/>
    <x v="1"/>
    <x v="1"/>
    <x v="1"/>
    <x v="21"/>
    <x v="7"/>
    <x v="58"/>
    <n v="88000"/>
  </r>
  <r>
    <x v="70"/>
    <x v="1"/>
    <x v="2"/>
    <x v="6"/>
    <x v="1"/>
    <x v="49"/>
    <x v="13"/>
    <x v="59"/>
    <n v="155040"/>
  </r>
  <r>
    <x v="71"/>
    <x v="4"/>
    <x v="2"/>
    <x v="12"/>
    <x v="0"/>
    <x v="50"/>
    <x v="11"/>
    <x v="60"/>
    <n v="138240"/>
  </r>
  <r>
    <x v="72"/>
    <x v="0"/>
    <x v="1"/>
    <x v="5"/>
    <x v="2"/>
    <x v="28"/>
    <x v="2"/>
    <x v="61"/>
    <n v="105600"/>
  </r>
  <r>
    <x v="73"/>
    <x v="3"/>
    <x v="1"/>
    <x v="8"/>
    <x v="3"/>
    <x v="43"/>
    <x v="3"/>
    <x v="3"/>
    <n v="66000"/>
  </r>
  <r>
    <x v="74"/>
    <x v="2"/>
    <x v="0"/>
    <x v="7"/>
    <x v="0"/>
    <x v="29"/>
    <x v="0"/>
    <x v="62"/>
    <n v="65100"/>
  </r>
  <r>
    <x v="75"/>
    <x v="1"/>
    <x v="1"/>
    <x v="10"/>
    <x v="2"/>
    <x v="9"/>
    <x v="9"/>
    <x v="63"/>
    <n v="123900"/>
  </r>
  <r>
    <x v="76"/>
    <x v="4"/>
    <x v="0"/>
    <x v="0"/>
    <x v="1"/>
    <x v="51"/>
    <x v="16"/>
    <x v="64"/>
    <n v="69760"/>
  </r>
  <r>
    <x v="77"/>
    <x v="0"/>
    <x v="2"/>
    <x v="9"/>
    <x v="1"/>
    <x v="46"/>
    <x v="4"/>
    <x v="65"/>
    <n v="128800"/>
  </r>
  <r>
    <x v="78"/>
    <x v="3"/>
    <x v="2"/>
    <x v="2"/>
    <x v="2"/>
    <x v="39"/>
    <x v="9"/>
    <x v="66"/>
    <n v="120360"/>
  </r>
  <r>
    <x v="79"/>
    <x v="1"/>
    <x v="0"/>
    <x v="7"/>
    <x v="0"/>
    <x v="21"/>
    <x v="12"/>
    <x v="67"/>
    <n v="84800"/>
  </r>
  <r>
    <x v="80"/>
    <x v="2"/>
    <x v="2"/>
    <x v="11"/>
    <x v="0"/>
    <x v="9"/>
    <x v="5"/>
    <x v="68"/>
    <n v="112350"/>
  </r>
  <r>
    <x v="81"/>
    <x v="4"/>
    <x v="1"/>
    <x v="5"/>
    <x v="1"/>
    <x v="28"/>
    <x v="1"/>
    <x v="23"/>
    <n v="98560"/>
  </r>
  <r>
    <x v="82"/>
    <x v="0"/>
    <x v="0"/>
    <x v="0"/>
    <x v="0"/>
    <x v="52"/>
    <x v="0"/>
    <x v="69"/>
    <n v="58800"/>
  </r>
  <r>
    <x v="83"/>
    <x v="1"/>
    <x v="2"/>
    <x v="4"/>
    <x v="3"/>
    <x v="16"/>
    <x v="3"/>
    <x v="3"/>
    <n v="125000"/>
  </r>
  <r>
    <x v="84"/>
    <x v="3"/>
    <x v="0"/>
    <x v="0"/>
    <x v="1"/>
    <x v="52"/>
    <x v="11"/>
    <x v="70"/>
    <n v="60480"/>
  </r>
  <r>
    <x v="85"/>
    <x v="2"/>
    <x v="1"/>
    <x v="8"/>
    <x v="2"/>
    <x v="5"/>
    <x v="9"/>
    <x v="71"/>
    <n v="100300"/>
  </r>
  <r>
    <x v="86"/>
    <x v="1"/>
    <x v="1"/>
    <x v="1"/>
    <x v="1"/>
    <x v="53"/>
    <x v="18"/>
    <x v="72"/>
    <n v="109610"/>
  </r>
  <r>
    <x v="87"/>
    <x v="4"/>
    <x v="2"/>
    <x v="4"/>
    <x v="1"/>
    <x v="25"/>
    <x v="13"/>
    <x v="73"/>
    <n v="134520"/>
  </r>
  <r>
    <x v="88"/>
    <x v="0"/>
    <x v="1"/>
    <x v="1"/>
    <x v="0"/>
    <x v="41"/>
    <x v="12"/>
    <x v="74"/>
    <n v="79500"/>
  </r>
  <r>
    <x v="89"/>
    <x v="3"/>
    <x v="2"/>
    <x v="13"/>
    <x v="0"/>
    <x v="6"/>
    <x v="5"/>
    <x v="75"/>
    <n v="117700"/>
  </r>
  <r>
    <x v="90"/>
    <x v="1"/>
    <x v="0"/>
    <x v="3"/>
    <x v="1"/>
    <x v="41"/>
    <x v="7"/>
    <x v="49"/>
    <n v="82500"/>
  </r>
  <r>
    <x v="91"/>
    <x v="2"/>
    <x v="2"/>
    <x v="6"/>
    <x v="1"/>
    <x v="24"/>
    <x v="1"/>
    <x v="76"/>
    <n v="120960"/>
  </r>
  <r>
    <x v="92"/>
    <x v="4"/>
    <x v="1"/>
    <x v="1"/>
    <x v="2"/>
    <x v="45"/>
    <x v="2"/>
    <x v="77"/>
    <n v="112800"/>
  </r>
  <r>
    <x v="93"/>
    <x v="0"/>
    <x v="2"/>
    <x v="2"/>
    <x v="3"/>
    <x v="47"/>
    <x v="3"/>
    <x v="3"/>
    <n v="90000"/>
  </r>
  <r>
    <x v="94"/>
    <x v="3"/>
    <x v="1"/>
    <x v="10"/>
    <x v="0"/>
    <x v="7"/>
    <x v="0"/>
    <x v="78"/>
    <n v="81900"/>
  </r>
  <r>
    <x v="95"/>
    <x v="1"/>
    <x v="2"/>
    <x v="12"/>
    <x v="2"/>
    <x v="54"/>
    <x v="14"/>
    <x v="79"/>
    <n v="193750"/>
  </r>
  <r>
    <x v="96"/>
    <x v="2"/>
    <x v="0"/>
    <x v="0"/>
    <x v="0"/>
    <x v="55"/>
    <x v="8"/>
    <x v="80"/>
    <n v="61360"/>
  </r>
  <r>
    <x v="97"/>
    <x v="4"/>
    <x v="0"/>
    <x v="3"/>
    <x v="3"/>
    <x v="0"/>
    <x v="3"/>
    <x v="3"/>
    <n v="55000"/>
  </r>
  <r>
    <x v="98"/>
    <x v="0"/>
    <x v="1"/>
    <x v="5"/>
    <x v="1"/>
    <x v="36"/>
    <x v="15"/>
    <x v="81"/>
    <n v="93240"/>
  </r>
  <r>
    <x v="99"/>
    <x v="1"/>
    <x v="1"/>
    <x v="8"/>
    <x v="2"/>
    <x v="39"/>
    <x v="2"/>
    <x v="82"/>
    <n v="122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08D3F6-578E-4110-AA6F-B2A7A8CD5BD8}" name="PivotChartTable7"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I9" firstHeaderRow="1" firstDataRow="3"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axis="axisCol" allDrilled="1" subtotalTop="0" showAll="0" dataSourceSort="1" defaultSubtotal="0" defaultAttributeDrillState="1">
      <items count="3">
        <item x="0"/>
        <item x="1"/>
        <item x="2"/>
      </items>
    </pivotField>
    <pivotField dataField="1" subtotalTop="0" showAll="0" defaultSubtotal="0"/>
  </pivotFields>
  <rowFields count="1">
    <field x="0"/>
  </rowFields>
  <rowItems count="6">
    <i>
      <x/>
    </i>
    <i>
      <x v="1"/>
    </i>
    <i>
      <x v="2"/>
    </i>
    <i>
      <x v="3"/>
    </i>
    <i>
      <x v="4"/>
    </i>
    <i t="grand">
      <x/>
    </i>
  </rowItems>
  <colFields count="2">
    <field x="2"/>
    <field x="-2"/>
  </colFields>
  <colItems count="8">
    <i>
      <x/>
      <x/>
    </i>
    <i r="1" i="1">
      <x v="1"/>
    </i>
    <i>
      <x v="1"/>
      <x/>
    </i>
    <i r="1" i="1">
      <x v="1"/>
    </i>
    <i>
      <x v="2"/>
      <x/>
    </i>
    <i r="1" i="1">
      <x v="1"/>
    </i>
    <i t="grand">
      <x/>
    </i>
    <i t="grand" i="1">
      <x/>
    </i>
  </colItems>
  <dataFields count="2">
    <dataField name="Sum of Total_Annual_Salary_USD" fld="1" baseField="0" baseItem="0"/>
    <dataField name="Sum of YOE (Years)" fld="3" baseField="0" baseItem="0"/>
  </dataFields>
  <chartFormats count="18">
    <chartFormat chart="0" format="335" series="1">
      <pivotArea type="data" outline="0" fieldPosition="0">
        <references count="2">
          <reference field="4294967294" count="1" selected="0">
            <x v="0"/>
          </reference>
          <reference field="2" count="1" selected="0">
            <x v="0"/>
          </reference>
        </references>
      </pivotArea>
    </chartFormat>
    <chartFormat chart="0" format="336" series="1">
      <pivotArea type="data" outline="0" fieldPosition="0">
        <references count="2">
          <reference field="4294967294" count="1" selected="0">
            <x v="0"/>
          </reference>
          <reference field="2" count="1" selected="0">
            <x v="1"/>
          </reference>
        </references>
      </pivotArea>
    </chartFormat>
    <chartFormat chart="0" format="337" series="1">
      <pivotArea type="data" outline="0" fieldPosition="0">
        <references count="2">
          <reference field="4294967294" count="1" selected="0">
            <x v="0"/>
          </reference>
          <reference field="2" count="1" selected="0">
            <x v="2"/>
          </reference>
        </references>
      </pivotArea>
    </chartFormat>
    <chartFormat chart="0" format="338" series="1">
      <pivotArea type="data" outline="0" fieldPosition="0">
        <references count="2">
          <reference field="4294967294" count="1" selected="0">
            <x v="1"/>
          </reference>
          <reference field="2" count="1" selected="0">
            <x v="1"/>
          </reference>
        </references>
      </pivotArea>
    </chartFormat>
    <chartFormat chart="0" format="339" series="1">
      <pivotArea type="data" outline="0" fieldPosition="0">
        <references count="2">
          <reference field="4294967294" count="1" selected="0">
            <x v="1"/>
          </reference>
          <reference field="2" count="1" selected="0">
            <x v="2"/>
          </reference>
        </references>
      </pivotArea>
    </chartFormat>
    <chartFormat chart="0" format="340" series="1">
      <pivotArea type="data" outline="0" fieldPosition="0">
        <references count="2">
          <reference field="4294967294" count="1" selected="0">
            <x v="1"/>
          </reference>
          <reference field="2" count="1" selected="0">
            <x v="0"/>
          </reference>
        </references>
      </pivotArea>
    </chartFormat>
    <chartFormat chart="1" format="341" series="1">
      <pivotArea type="data" outline="0" fieldPosition="0">
        <references count="2">
          <reference field="4294967294" count="1" selected="0">
            <x v="0"/>
          </reference>
          <reference field="2" count="1" selected="0">
            <x v="0"/>
          </reference>
        </references>
      </pivotArea>
    </chartFormat>
    <chartFormat chart="1" format="342" series="1">
      <pivotArea type="data" outline="0" fieldPosition="0">
        <references count="2">
          <reference field="4294967294" count="1" selected="0">
            <x v="1"/>
          </reference>
          <reference field="2" count="1" selected="0">
            <x v="0"/>
          </reference>
        </references>
      </pivotArea>
    </chartFormat>
    <chartFormat chart="1" format="343" series="1">
      <pivotArea type="data" outline="0" fieldPosition="0">
        <references count="2">
          <reference field="4294967294" count="1" selected="0">
            <x v="0"/>
          </reference>
          <reference field="2" count="1" selected="0">
            <x v="1"/>
          </reference>
        </references>
      </pivotArea>
    </chartFormat>
    <chartFormat chart="1" format="344" series="1">
      <pivotArea type="data" outline="0" fieldPosition="0">
        <references count="2">
          <reference field="4294967294" count="1" selected="0">
            <x v="1"/>
          </reference>
          <reference field="2" count="1" selected="0">
            <x v="1"/>
          </reference>
        </references>
      </pivotArea>
    </chartFormat>
    <chartFormat chart="1" format="345" series="1">
      <pivotArea type="data" outline="0" fieldPosition="0">
        <references count="2">
          <reference field="4294967294" count="1" selected="0">
            <x v="0"/>
          </reference>
          <reference field="2" count="1" selected="0">
            <x v="2"/>
          </reference>
        </references>
      </pivotArea>
    </chartFormat>
    <chartFormat chart="1" format="346" series="1">
      <pivotArea type="data" outline="0" fieldPosition="0">
        <references count="2">
          <reference field="4294967294" count="1" selected="0">
            <x v="1"/>
          </reference>
          <reference field="2" count="1" selected="0">
            <x v="2"/>
          </reference>
        </references>
      </pivotArea>
    </chartFormat>
    <chartFormat chart="2" format="347" series="1">
      <pivotArea type="data" outline="0" fieldPosition="0">
        <references count="2">
          <reference field="4294967294" count="1" selected="0">
            <x v="0"/>
          </reference>
          <reference field="2" count="1" selected="0">
            <x v="0"/>
          </reference>
        </references>
      </pivotArea>
    </chartFormat>
    <chartFormat chart="2" format="348" series="1">
      <pivotArea type="data" outline="0" fieldPosition="0">
        <references count="2">
          <reference field="4294967294" count="1" selected="0">
            <x v="1"/>
          </reference>
          <reference field="2" count="1" selected="0">
            <x v="0"/>
          </reference>
        </references>
      </pivotArea>
    </chartFormat>
    <chartFormat chart="2" format="349" series="1">
      <pivotArea type="data" outline="0" fieldPosition="0">
        <references count="2">
          <reference field="4294967294" count="1" selected="0">
            <x v="0"/>
          </reference>
          <reference field="2" count="1" selected="0">
            <x v="1"/>
          </reference>
        </references>
      </pivotArea>
    </chartFormat>
    <chartFormat chart="2" format="350" series="1">
      <pivotArea type="data" outline="0" fieldPosition="0">
        <references count="2">
          <reference field="4294967294" count="1" selected="0">
            <x v="1"/>
          </reference>
          <reference field="2" count="1" selected="0">
            <x v="1"/>
          </reference>
        </references>
      </pivotArea>
    </chartFormat>
    <chartFormat chart="2" format="351" series="1">
      <pivotArea type="data" outline="0" fieldPosition="0">
        <references count="2">
          <reference field="4294967294" count="1" selected="0">
            <x v="0"/>
          </reference>
          <reference field="2" count="1" selected="0">
            <x v="2"/>
          </reference>
        </references>
      </pivotArea>
    </chartFormat>
    <chartFormat chart="2" format="352" series="1">
      <pivotArea type="data" outline="0" fieldPosition="0">
        <references count="2">
          <reference field="4294967294" count="1" selected="0">
            <x v="1"/>
          </reference>
          <reference field="2" count="1" selected="0">
            <x v="2"/>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colHierarchiesUsage count="2">
    <colHierarchyUsage hierarchyUsage="2"/>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8" cacheId="1696931321">
        <x15:pivotRow count="8">
          <x15:c>
            <x15:v>655890</x15:v>
          </x15:c>
          <x15:c>
            <x15:v>15</x15:v>
          </x15:c>
          <x15:c>
            <x15:v>964910</x15:v>
          </x15:c>
          <x15:c>
            <x15:v>50</x15:v>
          </x15:c>
          <x15:c>
            <x15:v>1635900</x15:v>
          </x15:c>
          <x15:c>
            <x15:v>103</x15:v>
          </x15:c>
          <x15:c>
            <x15:v>3256700</x15:v>
          </x15:c>
          <x15:c>
            <x15:v>168</x15:v>
          </x15:c>
        </x15:pivotRow>
        <x15:pivotRow count="8">
          <x15:c>
            <x15:v>380760</x15:v>
          </x15:c>
          <x15:c>
            <x15:v>11</x15:v>
          </x15:c>
          <x15:c>
            <x15:v>580610</x15:v>
          </x15:c>
          <x15:c>
            <x15:v>33</x15:v>
          </x15:c>
          <x15:c>
            <x15:v>832920</x15:v>
          </x15:c>
          <x15:c>
            <x15:v>64</x15:v>
          </x15:c>
          <x15:c>
            <x15:v>1794290</x15:v>
          </x15:c>
          <x15:c>
            <x15:v>108</x15:v>
          </x15:c>
        </x15:pivotRow>
        <x15:pivotRow count="8">
          <x15:c>
            <x15:v>320220</x15:v>
          </x15:c>
          <x15:c>
            <x15:v>11</x15:v>
          </x15:c>
          <x15:c>
            <x15:v>380280</x15:v>
          </x15:c>
          <x15:c>
            <x15:v>26</x15:v>
          </x15:c>
          <x15:c>
            <x15:v>718560</x15:v>
          </x15:c>
          <x15:c>
            <x15:v>68</x15:v>
          </x15:c>
          <x15:c>
            <x15:v>1419060</x15:v>
          </x15:c>
          <x15:c>
            <x15:v>105</x15:v>
          </x15:c>
        </x15:pivotRow>
        <x15:pivotRow count="8">
          <x15:c>
            <x15:v>300450</x15:v>
          </x15:c>
          <x15:c>
            <x15:v>9</x15:v>
          </x15:c>
          <x15:c>
            <x15:v>494040</x15:v>
          </x15:c>
          <x15:c>
            <x15:v>28</x15:v>
          </x15:c>
          <x15:c>
            <x15:v>854630</x15:v>
          </x15:c>
          <x15:c>
            <x15:v>65</x15:v>
          </x15:c>
          <x15:c>
            <x15:v>1649120</x15:v>
          </x15:c>
          <x15:c>
            <x15:v>102</x15:v>
          </x15:c>
        </x15:pivotRow>
        <x15:pivotRow count="8">
          <x15:c>
            <x15:v>372450</x15:v>
          </x15:c>
          <x15:c>
            <x15:v>13</x15:v>
          </x15:c>
          <x15:c>
            <x15:v>613720</x15:v>
          </x15:c>
          <x15:c>
            <x15:v>39</x15:v>
          </x15:c>
          <x15:c>
            <x15:v>831940</x15:v>
          </x15:c>
          <x15:c>
            <x15:v>67</x15:v>
          </x15:c>
          <x15:c>
            <x15:v>1818110</x15:v>
          </x15:c>
          <x15:c>
            <x15:v>119</x15:v>
          </x15:c>
        </x15:pivotRow>
        <x15:pivotRow count="8">
          <x15:c>
            <x15:v>2029770</x15:v>
          </x15:c>
          <x15:c>
            <x15:v>59</x15:v>
          </x15:c>
          <x15:c>
            <x15:v>3033560</x15:v>
          </x15:c>
          <x15:c>
            <x15:v>176</x15:v>
          </x15:c>
          <x15:c>
            <x15:v>4873950</x15:v>
          </x15:c>
          <x15:c>
            <x15:v>367</x15:v>
          </x15:c>
          <x15:c>
            <x15:v>9937280</x15:v>
          </x15:c>
          <x15:c>
            <x15:v>602</x15:v>
          </x15:c>
        </x15:pivotRow>
      </x15:pivotTableData>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619585-26F3-4E2F-A642-AEA27A5EBDA2}" name="PivotChartTable2"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1:C5" firstHeaderRow="0"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Fields count="1">
    <field x="-2"/>
  </colFields>
  <colItems count="2">
    <i>
      <x/>
    </i>
    <i i="1">
      <x v="1"/>
    </i>
  </colItems>
  <dataFields count="2">
    <dataField name="Sum of Total_Annual_Salary_USD" fld="1" baseField="0" baseItem="0"/>
    <dataField name="Sum of Annual_Salary_USD" fld="2" baseField="0" baseItem="0"/>
  </dataFields>
  <chartFormats count="6">
    <chartFormat chart="0" format="218" series="1">
      <pivotArea type="data" outline="0" fieldPosition="0">
        <references count="1">
          <reference field="4294967294" count="1" selected="0">
            <x v="0"/>
          </reference>
        </references>
      </pivotArea>
    </chartFormat>
    <chartFormat chart="0" format="219" series="1">
      <pivotArea type="data" outline="0" fieldPosition="0">
        <references count="1">
          <reference field="4294967294" count="1" selected="0">
            <x v="1"/>
          </reference>
        </references>
      </pivotArea>
    </chartFormat>
    <chartFormat chart="5" format="220" series="1">
      <pivotArea type="data" outline="0" fieldPosition="0">
        <references count="1">
          <reference field="4294967294" count="1" selected="0">
            <x v="0"/>
          </reference>
        </references>
      </pivotArea>
    </chartFormat>
    <chartFormat chart="5" format="221" series="1">
      <pivotArea type="data" outline="0" fieldPosition="0">
        <references count="1">
          <reference field="4294967294" count="1" selected="0">
            <x v="1"/>
          </reference>
        </references>
      </pivotArea>
    </chartFormat>
    <chartFormat chart="6" format="222" series="1">
      <pivotArea type="data" outline="0" fieldPosition="0">
        <references count="1">
          <reference field="4294967294" count="1" selected="0">
            <x v="0"/>
          </reference>
        </references>
      </pivotArea>
    </chartFormat>
    <chartFormat chart="6" format="223" series="1">
      <pivotArea type="data" outline="0" fieldPosition="0">
        <references count="1">
          <reference field="4294967294" count="1" selected="0">
            <x v="1"/>
          </reference>
        </references>
      </pivotArea>
    </chartFormat>
  </chartFormats>
  <pivotHierarchies count="33">
    <pivotHierarchy multipleItemSelectionAllowed="1" dragToData="1"/>
    <pivotHierarchy multipleItemSelectionAllowed="1" dragToData="1"/>
    <pivotHierarchy dragToData="1"/>
    <pivotHierarchy multipleItemSelectionAllowed="1" dragToData="1">
      <members count="1" level="1">
        <member name="[Range].[YOE (Years)].&amp;[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2" cacheId="274415252">
        <x15:pivotRow count="2">
          <x15:c>
            <x15:v>2029770</x15:v>
          </x15:c>
          <x15:c>
            <x15:v>1915000</x15:v>
          </x15:c>
        </x15:pivotRow>
        <x15:pivotRow count="2">
          <x15:c>
            <x15:v>3033560</x15:v>
          </x15:c>
          <x15:c>
            <x15:v>2763000</x15:v>
          </x15:c>
        </x15:pivotRow>
        <x15:pivotRow count="2">
          <x15:c>
            <x15:v>4873950</x15:v>
          </x15:c>
          <x15:c>
            <x15:v>4255000</x15:v>
          </x15:c>
        </x15:pivotRow>
        <x15:pivotRow count="2">
          <x15:c>
            <x15:v>9937280</x15:v>
          </x15:c>
          <x15:c>
            <x15:v>8933000</x15:v>
          </x15:c>
        </x15:pivotRow>
      </x15:pivotTableData>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0CDC74C-A941-49E2-A8A4-6089B0D5160A}"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C7" firstHeaderRow="0" firstDataRow="1" firstDataCol="1"/>
  <pivotFields count="9">
    <pivotField showAll="0">
      <items count="101">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t="default"/>
      </items>
    </pivotField>
    <pivotField axis="axisRow" showAll="0">
      <items count="6">
        <item x="1"/>
        <item x="4"/>
        <item x="3"/>
        <item x="2"/>
        <item x="0"/>
        <item t="default"/>
      </items>
    </pivotField>
    <pivotField showAll="0"/>
    <pivotField showAll="0"/>
    <pivotField showAll="0">
      <items count="5">
        <item h="1" x="3"/>
        <item h="1" x="0"/>
        <item h="1" x="1"/>
        <item x="2"/>
        <item t="default"/>
      </items>
    </pivotField>
    <pivotField numFmtId="3" showAll="0"/>
    <pivotField numFmtId="9" showAll="0"/>
    <pivotField dataField="1" showAll="0"/>
    <pivotField dataField="1" numFmtId="3" showAll="0"/>
  </pivotFields>
  <rowFields count="1">
    <field x="1"/>
  </rowFields>
  <rowItems count="6">
    <i>
      <x/>
    </i>
    <i>
      <x v="1"/>
    </i>
    <i>
      <x v="2"/>
    </i>
    <i>
      <x v="3"/>
    </i>
    <i>
      <x v="4"/>
    </i>
    <i t="grand">
      <x/>
    </i>
  </rowItems>
  <colFields count="1">
    <field x="-2"/>
  </colFields>
  <colItems count="2">
    <i>
      <x/>
    </i>
    <i i="1">
      <x v="1"/>
    </i>
  </colItems>
  <dataFields count="2">
    <dataField name="Sum of Bonas_Salary" fld="7" baseField="0" baseItem="0"/>
    <dataField name="Sum of Total_Annual_Salary_USD" fld="8" baseField="0" baseItem="0" numFmtId="3"/>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 chart="0" format="4">
      <pivotArea type="data" outline="0" fieldPosition="0">
        <references count="2">
          <reference field="4294967294" count="1" selected="0">
            <x v="0"/>
          </reference>
          <reference field="1" count="1" selected="0">
            <x v="2"/>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 chart="0" format="6">
      <pivotArea type="data" outline="0" fieldPosition="0">
        <references count="2">
          <reference field="4294967294" count="1" selected="0">
            <x v="0"/>
          </reference>
          <reference field="1" count="1" selected="0">
            <x v="4"/>
          </reference>
        </references>
      </pivotArea>
    </chartFormat>
    <chartFormat chart="0" format="7">
      <pivotArea type="data" outline="0" fieldPosition="0">
        <references count="2">
          <reference field="4294967294" count="1" selected="0">
            <x v="1"/>
          </reference>
          <reference field="1" count="1" selected="0">
            <x v="0"/>
          </reference>
        </references>
      </pivotArea>
    </chartFormat>
    <chartFormat chart="0" format="8">
      <pivotArea type="data" outline="0" fieldPosition="0">
        <references count="2">
          <reference field="4294967294" count="1" selected="0">
            <x v="1"/>
          </reference>
          <reference field="1" count="1" selected="0">
            <x v="1"/>
          </reference>
        </references>
      </pivotArea>
    </chartFormat>
    <chartFormat chart="0" format="9">
      <pivotArea type="data" outline="0" fieldPosition="0">
        <references count="2">
          <reference field="4294967294" count="1" selected="0">
            <x v="1"/>
          </reference>
          <reference field="1" count="1" selected="0">
            <x v="2"/>
          </reference>
        </references>
      </pivotArea>
    </chartFormat>
    <chartFormat chart="0" format="10">
      <pivotArea type="data" outline="0" fieldPosition="0">
        <references count="2">
          <reference field="4294967294" count="1" selected="0">
            <x v="1"/>
          </reference>
          <reference field="1" count="1" selected="0">
            <x v="3"/>
          </reference>
        </references>
      </pivotArea>
    </chartFormat>
    <chartFormat chart="0" format="11">
      <pivotArea type="data" outline="0" fieldPosition="0">
        <references count="2">
          <reference field="4294967294" count="1" selected="0">
            <x v="1"/>
          </reference>
          <reference field="1" count="1" selected="0">
            <x v="4"/>
          </reference>
        </references>
      </pivotArea>
    </chartFormat>
    <chartFormat chart="9" format="24" series="1">
      <pivotArea type="data" outline="0" fieldPosition="0">
        <references count="1">
          <reference field="4294967294" count="1" selected="0">
            <x v="0"/>
          </reference>
        </references>
      </pivotArea>
    </chartFormat>
    <chartFormat chart="9" format="25">
      <pivotArea type="data" outline="0" fieldPosition="0">
        <references count="2">
          <reference field="4294967294" count="1" selected="0">
            <x v="0"/>
          </reference>
          <reference field="1" count="1" selected="0">
            <x v="0"/>
          </reference>
        </references>
      </pivotArea>
    </chartFormat>
    <chartFormat chart="9" format="26">
      <pivotArea type="data" outline="0" fieldPosition="0">
        <references count="2">
          <reference field="4294967294" count="1" selected="0">
            <x v="0"/>
          </reference>
          <reference field="1" count="1" selected="0">
            <x v="1"/>
          </reference>
        </references>
      </pivotArea>
    </chartFormat>
    <chartFormat chart="9" format="27">
      <pivotArea type="data" outline="0" fieldPosition="0">
        <references count="2">
          <reference field="4294967294" count="1" selected="0">
            <x v="0"/>
          </reference>
          <reference field="1" count="1" selected="0">
            <x v="2"/>
          </reference>
        </references>
      </pivotArea>
    </chartFormat>
    <chartFormat chart="9" format="28">
      <pivotArea type="data" outline="0" fieldPosition="0">
        <references count="2">
          <reference field="4294967294" count="1" selected="0">
            <x v="0"/>
          </reference>
          <reference field="1" count="1" selected="0">
            <x v="3"/>
          </reference>
        </references>
      </pivotArea>
    </chartFormat>
    <chartFormat chart="9" format="29">
      <pivotArea type="data" outline="0" fieldPosition="0">
        <references count="2">
          <reference field="4294967294" count="1" selected="0">
            <x v="0"/>
          </reference>
          <reference field="1" count="1" selected="0">
            <x v="4"/>
          </reference>
        </references>
      </pivotArea>
    </chartFormat>
    <chartFormat chart="9" format="30" series="1">
      <pivotArea type="data" outline="0" fieldPosition="0">
        <references count="1">
          <reference field="4294967294" count="1" selected="0">
            <x v="1"/>
          </reference>
        </references>
      </pivotArea>
    </chartFormat>
    <chartFormat chart="9" format="31">
      <pivotArea type="data" outline="0" fieldPosition="0">
        <references count="2">
          <reference field="4294967294" count="1" selected="0">
            <x v="1"/>
          </reference>
          <reference field="1" count="1" selected="0">
            <x v="0"/>
          </reference>
        </references>
      </pivotArea>
    </chartFormat>
    <chartFormat chart="9" format="32">
      <pivotArea type="data" outline="0" fieldPosition="0">
        <references count="2">
          <reference field="4294967294" count="1" selected="0">
            <x v="1"/>
          </reference>
          <reference field="1" count="1" selected="0">
            <x v="1"/>
          </reference>
        </references>
      </pivotArea>
    </chartFormat>
    <chartFormat chart="9" format="33">
      <pivotArea type="data" outline="0" fieldPosition="0">
        <references count="2">
          <reference field="4294967294" count="1" selected="0">
            <x v="1"/>
          </reference>
          <reference field="1" count="1" selected="0">
            <x v="2"/>
          </reference>
        </references>
      </pivotArea>
    </chartFormat>
    <chartFormat chart="9" format="34">
      <pivotArea type="data" outline="0" fieldPosition="0">
        <references count="2">
          <reference field="4294967294" count="1" selected="0">
            <x v="1"/>
          </reference>
          <reference field="1" count="1" selected="0">
            <x v="3"/>
          </reference>
        </references>
      </pivotArea>
    </chartFormat>
    <chartFormat chart="9" format="35">
      <pivotArea type="data" outline="0" fieldPosition="0">
        <references count="2">
          <reference field="4294967294" count="1" selected="0">
            <x v="1"/>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E7DC86-A928-4F24-B16D-060DE49DA5EA}"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24:D43"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s>
  <rowFields count="2">
    <field x="0"/>
    <field x="3"/>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2">
    <i>
      <x/>
    </i>
    <i i="1">
      <x v="1"/>
    </i>
  </colItems>
  <dataFields count="2">
    <dataField name="Sum of Total_Annual_Salary_USD" fld="1" baseField="0" baseItem="0"/>
    <dataField name="Sum of YOE (Years)" fld="2" baseField="0" baseItem="0"/>
  </dataFields>
  <formats count="17">
    <format dxfId="57">
      <pivotArea type="all" dataOnly="0" outline="0" fieldPosition="0"/>
    </format>
    <format dxfId="56">
      <pivotArea outline="0" collapsedLevelsAreSubtotals="1" fieldPosition="0"/>
    </format>
    <format dxfId="55">
      <pivotArea dataOnly="0" labelOnly="1" outline="0" fieldPosition="0">
        <references count="1">
          <reference field="4294967294" count="2">
            <x v="0"/>
            <x v="1"/>
          </reference>
        </references>
      </pivotArea>
    </format>
    <format dxfId="54">
      <pivotArea outline="0" collapsedLevelsAreSubtotals="1" fieldPosition="0"/>
    </format>
    <format dxfId="53">
      <pivotArea dataOnly="0" labelOnly="1" outline="0" fieldPosition="0">
        <references count="1">
          <reference field="4294967294" count="2">
            <x v="0"/>
            <x v="1"/>
          </reference>
        </references>
      </pivotArea>
    </format>
    <format dxfId="52">
      <pivotArea type="all" dataOnly="0" outline="0" fieldPosition="0"/>
    </format>
    <format dxfId="51">
      <pivotArea outline="0" collapsedLevelsAreSubtotals="1" fieldPosition="0"/>
    </format>
    <format dxfId="50">
      <pivotArea field="0" type="button" dataOnly="0" labelOnly="1" outline="0" axis="axisRow" fieldPosition="0"/>
    </format>
    <format dxfId="49">
      <pivotArea dataOnly="0" labelOnly="1" fieldPosition="0">
        <references count="1">
          <reference field="0" count="0"/>
        </references>
      </pivotArea>
    </format>
    <format dxfId="48">
      <pivotArea dataOnly="0" labelOnly="1" grandRow="1" outline="0" fieldPosition="0"/>
    </format>
    <format dxfId="47">
      <pivotArea dataOnly="0" labelOnly="1" fieldPosition="0">
        <references count="2">
          <reference field="0" count="1" selected="0">
            <x v="0"/>
          </reference>
          <reference field="3" count="0"/>
        </references>
      </pivotArea>
    </format>
    <format dxfId="46">
      <pivotArea dataOnly="0" labelOnly="1" fieldPosition="0">
        <references count="2">
          <reference field="0" count="1" selected="0">
            <x v="1"/>
          </reference>
          <reference field="3" count="0"/>
        </references>
      </pivotArea>
    </format>
    <format dxfId="45">
      <pivotArea dataOnly="0" labelOnly="1" fieldPosition="0">
        <references count="2">
          <reference field="0" count="1" selected="0">
            <x v="2"/>
          </reference>
          <reference field="3" count="0"/>
        </references>
      </pivotArea>
    </format>
    <format dxfId="44">
      <pivotArea dataOnly="0" labelOnly="1" outline="0" fieldPosition="0">
        <references count="1">
          <reference field="4294967294" count="2">
            <x v="0"/>
            <x v="1"/>
          </reference>
        </references>
      </pivotArea>
    </format>
    <format dxfId="43">
      <pivotArea outline="0" collapsedLevelsAreSubtotals="1" fieldPosition="0">
        <references count="1">
          <reference field="4294967294" count="1" selected="0">
            <x v="0"/>
          </reference>
        </references>
      </pivotArea>
    </format>
    <format dxfId="42">
      <pivotArea dataOnly="0" labelOnly="1" outline="0" fieldPosition="0">
        <references count="1">
          <reference field="4294967294" count="1">
            <x v="0"/>
          </reference>
        </references>
      </pivotArea>
    </format>
    <format dxfId="41">
      <pivotArea dataOnly="0" fieldPosition="0">
        <references count="1">
          <reference field="3" count="0"/>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7" showRowHeaders="1" showColHeaders="1" showRowStripes="0" showColStripes="0" showLastColumn="1"/>
  <rowHierarchiesUsage count="2">
    <rowHierarchyUsage hierarchyUsage="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AB12CC-C901-409B-AD63-0059DF60C5F1}" name="PivotTable5" cacheId="3" dataPosition="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B14:D20" firstHeaderRow="0"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2">
    <i>
      <x/>
    </i>
    <i i="1">
      <x v="1"/>
    </i>
  </colItems>
  <dataFields count="2">
    <dataField name="Sum of Annual_Salary_USD" fld="1" baseField="0" baseItem="0"/>
    <dataField name="Count of Employee_ID" fld="2" subtotal="count" baseField="0" baseItem="0"/>
  </dataFields>
  <formats count="11">
    <format dxfId="68">
      <pivotArea type="all" dataOnly="0" outline="0" fieldPosition="0"/>
    </format>
    <format dxfId="67">
      <pivotArea outline="0" collapsedLevelsAreSubtotals="1" fieldPosition="0"/>
    </format>
    <format dxfId="66">
      <pivotArea field="0" type="button" dataOnly="0" labelOnly="1" outline="0" axis="axisRow" fieldPosition="0"/>
    </format>
    <format dxfId="65">
      <pivotArea dataOnly="0" labelOnly="1" outline="0" fieldPosition="0">
        <references count="1">
          <reference field="4294967294" count="2">
            <x v="0"/>
            <x v="1"/>
          </reference>
        </references>
      </pivotArea>
    </format>
    <format dxfId="64">
      <pivotArea outline="0" collapsedLevelsAreSubtotals="1" fieldPosition="0"/>
    </format>
    <format dxfId="63">
      <pivotArea dataOnly="0" labelOnly="1" outline="0" fieldPosition="0">
        <references count="1">
          <reference field="4294967294" count="2">
            <x v="0"/>
            <x v="1"/>
          </reference>
        </references>
      </pivotArea>
    </format>
    <format dxfId="62">
      <pivotArea outline="0" collapsedLevelsAreSubtotals="1" fieldPosition="0">
        <references count="1">
          <reference field="4294967294" count="1" selected="0">
            <x v="0"/>
          </reference>
        </references>
      </pivotArea>
    </format>
    <format dxfId="61">
      <pivotArea dataOnly="0" labelOnly="1" outline="0" fieldPosition="0">
        <references count="1">
          <reference field="4294967294" count="1">
            <x v="0"/>
          </reference>
        </references>
      </pivotArea>
    </format>
    <format dxfId="60">
      <pivotArea outline="0" collapsedLevelsAreSubtotals="1" fieldPosition="0"/>
    </format>
    <format dxfId="59">
      <pivotArea dataOnly="0" labelOnly="1" fieldPosition="0">
        <references count="1">
          <reference field="0" count="0"/>
        </references>
      </pivotArea>
    </format>
    <format dxfId="58">
      <pivotArea dataOnly="0" labelOnly="1" grandRow="1" outline="0" fieldPosition="0"/>
    </format>
  </formats>
  <chartFormats count="14">
    <chartFormat chart="12" format="364" series="1">
      <pivotArea type="data" outline="0" fieldPosition="0">
        <references count="2">
          <reference field="4294967294" count="1" selected="0">
            <x v="0"/>
          </reference>
          <reference field="0" count="1" selected="0">
            <x v="0"/>
          </reference>
        </references>
      </pivotArea>
    </chartFormat>
    <chartFormat chart="12" format="365" series="1">
      <pivotArea type="data" outline="0" fieldPosition="0">
        <references count="2">
          <reference field="4294967294" count="1" selected="0">
            <x v="0"/>
          </reference>
          <reference field="0" count="1" selected="0">
            <x v="1"/>
          </reference>
        </references>
      </pivotArea>
    </chartFormat>
    <chartFormat chart="12" format="366" series="1">
      <pivotArea type="data" outline="0" fieldPosition="0">
        <references count="2">
          <reference field="4294967294" count="1" selected="0">
            <x v="0"/>
          </reference>
          <reference field="0" count="1" selected="0">
            <x v="2"/>
          </reference>
        </references>
      </pivotArea>
    </chartFormat>
    <chartFormat chart="12" format="367" series="1">
      <pivotArea type="data" outline="0" fieldPosition="0">
        <references count="2">
          <reference field="4294967294" count="1" selected="0">
            <x v="0"/>
          </reference>
          <reference field="0" count="1" selected="0">
            <x v="3"/>
          </reference>
        </references>
      </pivotArea>
    </chartFormat>
    <chartFormat chart="12" format="368" series="1">
      <pivotArea type="data" outline="0" fieldPosition="0">
        <references count="2">
          <reference field="4294967294" count="1" selected="0">
            <x v="0"/>
          </reference>
          <reference field="0" count="1" selected="0">
            <x v="4"/>
          </reference>
        </references>
      </pivotArea>
    </chartFormat>
    <chartFormat chart="2" format="28" series="1">
      <pivotArea type="data" outline="0" fieldPosition="0">
        <references count="2">
          <reference field="4294967294" count="1" selected="0">
            <x v="0"/>
          </reference>
          <reference field="0" count="1" selected="0">
            <x v="0"/>
          </reference>
        </references>
      </pivotArea>
    </chartFormat>
    <chartFormat chart="2" format="29" series="1">
      <pivotArea type="data" outline="0" fieldPosition="0">
        <references count="2">
          <reference field="4294967294" count="1" selected="0">
            <x v="0"/>
          </reference>
          <reference field="0" count="1" selected="0">
            <x v="1"/>
          </reference>
        </references>
      </pivotArea>
    </chartFormat>
    <chartFormat chart="2" format="30" series="1">
      <pivotArea type="data" outline="0" fieldPosition="0">
        <references count="2">
          <reference field="4294967294" count="1" selected="0">
            <x v="0"/>
          </reference>
          <reference field="0" count="1" selected="0">
            <x v="2"/>
          </reference>
        </references>
      </pivotArea>
    </chartFormat>
    <chartFormat chart="2" format="31" series="1">
      <pivotArea type="data" outline="0" fieldPosition="0">
        <references count="2">
          <reference field="4294967294" count="1" selected="0">
            <x v="0"/>
          </reference>
          <reference field="0" count="1" selected="0">
            <x v="3"/>
          </reference>
        </references>
      </pivotArea>
    </chartFormat>
    <chartFormat chart="2" format="32" series="1">
      <pivotArea type="data" outline="0" fieldPosition="0">
        <references count="2">
          <reference field="4294967294" count="1" selected="0">
            <x v="0"/>
          </reference>
          <reference field="0" count="1" selected="0">
            <x v="4"/>
          </reference>
        </references>
      </pivotArea>
    </chartFormat>
    <chartFormat chart="12" format="369" series="1">
      <pivotArea type="data" outline="0" fieldPosition="0">
        <references count="1">
          <reference field="4294967294" count="1" selected="0">
            <x v="0"/>
          </reference>
        </references>
      </pivotArea>
    </chartFormat>
    <chartFormat chart="12" format="370" series="1">
      <pivotArea type="data" outline="0" fieldPosition="0">
        <references count="1">
          <reference field="4294967294" count="1" selected="0">
            <x v="1"/>
          </reference>
        </references>
      </pivotArea>
    </chartFormat>
    <chartFormat chart="2" format="33"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1"/>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F30BDD-417F-4FCB-9D4C-9ECAFD14ED2D}"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E10" firstHeaderRow="0" firstDataRow="1" firstDataCol="1"/>
  <pivotFields count="4">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3">
    <i>
      <x/>
    </i>
    <i i="1">
      <x v="1"/>
    </i>
    <i i="2">
      <x v="2"/>
    </i>
  </colItems>
  <dataFields count="3">
    <dataField name="Sum of Performance_Rating (1-5)" fld="1" baseField="0" baseItem="0"/>
    <dataField name="Sum of Bonas_Salary" fld="2" baseField="0" baseItem="0"/>
    <dataField name="Sum of Bonus_Percentage" fld="3" baseField="0" baseItem="0"/>
  </dataFields>
  <formats count="12">
    <format dxfId="80">
      <pivotArea type="all" dataOnly="0" outline="0" fieldPosition="0"/>
    </format>
    <format dxfId="79">
      <pivotArea dataOnly="0" labelOnly="1" outline="0" fieldPosition="0">
        <references count="1">
          <reference field="4294967294" count="3">
            <x v="0"/>
            <x v="1"/>
            <x v="2"/>
          </reference>
        </references>
      </pivotArea>
    </format>
    <format dxfId="78">
      <pivotArea dataOnly="0" labelOnly="1" outline="0" fieldPosition="0">
        <references count="1">
          <reference field="4294967294" count="1">
            <x v="0"/>
          </reference>
        </references>
      </pivotArea>
    </format>
    <format dxfId="77">
      <pivotArea outline="0" collapsedLevelsAreSubtotals="1" fieldPosition="0">
        <references count="1">
          <reference field="4294967294" count="1" selected="0">
            <x v="2"/>
          </reference>
        </references>
      </pivotArea>
    </format>
    <format dxfId="76">
      <pivotArea outline="0" collapsedLevelsAreSubtotals="1" fieldPosition="0">
        <references count="1">
          <reference field="4294967294" count="2" selected="0">
            <x v="0"/>
            <x v="1"/>
          </reference>
        </references>
      </pivotArea>
    </format>
    <format dxfId="75">
      <pivotArea dataOnly="0" labelOnly="1" outline="0" fieldPosition="0">
        <references count="1">
          <reference field="4294967294" count="2">
            <x v="0"/>
            <x v="1"/>
          </reference>
        </references>
      </pivotArea>
    </format>
    <format dxfId="74">
      <pivotArea type="all" dataOnly="0" outline="0" fieldPosition="0"/>
    </format>
    <format dxfId="73">
      <pivotArea outline="0" collapsedLevelsAreSubtotals="1" fieldPosition="0"/>
    </format>
    <format dxfId="72">
      <pivotArea field="0" type="button" dataOnly="0" labelOnly="1" outline="0" axis="axisRow" fieldPosition="0"/>
    </format>
    <format dxfId="71">
      <pivotArea dataOnly="0" labelOnly="1" fieldPosition="0">
        <references count="1">
          <reference field="0" count="0"/>
        </references>
      </pivotArea>
    </format>
    <format dxfId="70">
      <pivotArea dataOnly="0" labelOnly="1" grandRow="1" outline="0" fieldPosition="0"/>
    </format>
    <format dxfId="69">
      <pivotArea dataOnly="0" labelOnly="1" outline="0" fieldPosition="0">
        <references count="1">
          <reference field="4294967294" count="3">
            <x v="0"/>
            <x v="1"/>
            <x v="2"/>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Dark5"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2">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9E9996-46A2-4888-BD76-4E4BFF0D4CDD}" name="PivotTable1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K11:M30" firstHeaderRow="0"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s>
  <rowFields count="2">
    <field x="0"/>
    <field x="3"/>
  </rowFields>
  <rowItems count="19">
    <i>
      <x/>
    </i>
    <i r="1">
      <x/>
    </i>
    <i r="1">
      <x v="1"/>
    </i>
    <i r="1">
      <x v="2"/>
    </i>
    <i r="1">
      <x v="3"/>
    </i>
    <i r="1">
      <x v="4"/>
    </i>
    <i>
      <x v="1"/>
    </i>
    <i r="1">
      <x/>
    </i>
    <i r="1">
      <x v="1"/>
    </i>
    <i r="1">
      <x v="2"/>
    </i>
    <i r="1">
      <x v="3"/>
    </i>
    <i r="1">
      <x v="4"/>
    </i>
    <i>
      <x v="2"/>
    </i>
    <i r="1">
      <x/>
    </i>
    <i r="1">
      <x v="1"/>
    </i>
    <i r="1">
      <x v="2"/>
    </i>
    <i r="1">
      <x v="3"/>
    </i>
    <i r="1">
      <x v="4"/>
    </i>
    <i t="grand">
      <x/>
    </i>
  </rowItems>
  <colFields count="1">
    <field x="-2"/>
  </colFields>
  <colItems count="2">
    <i>
      <x/>
    </i>
    <i i="1">
      <x v="1"/>
    </i>
  </colItems>
  <dataFields count="2">
    <dataField name="Sum of Total_Annual_Salary_USD" fld="1" baseField="0" baseItem="0"/>
    <dataField name="Sum of YOE (Years)" fld="2" baseField="0" baseItem="0"/>
  </dataFields>
  <formats count="18">
    <format dxfId="17">
      <pivotArea type="all" dataOnly="0" outline="0" fieldPosition="0"/>
    </format>
    <format dxfId="16">
      <pivotArea outline="0" collapsedLevelsAreSubtotals="1" fieldPosition="0"/>
    </format>
    <format dxfId="15">
      <pivotArea dataOnly="0" labelOnly="1" outline="0" fieldPosition="0">
        <references count="1">
          <reference field="4294967294" count="2">
            <x v="0"/>
            <x v="1"/>
          </reference>
        </references>
      </pivotArea>
    </format>
    <format dxfId="14">
      <pivotArea outline="0" collapsedLevelsAreSubtotals="1" fieldPosition="0"/>
    </format>
    <format dxfId="13">
      <pivotArea dataOnly="0" labelOnly="1" outline="0" fieldPosition="0">
        <references count="1">
          <reference field="4294967294" count="2">
            <x v="0"/>
            <x v="1"/>
          </reference>
        </references>
      </pivotArea>
    </format>
    <format dxfId="12">
      <pivotArea type="all" dataOnly="0" outline="0" fieldPosition="0"/>
    </format>
    <format dxfId="11">
      <pivotArea outline="0" collapsedLevelsAreSubtotals="1" fieldPosition="0"/>
    </format>
    <format dxfId="10">
      <pivotArea field="0" type="button" dataOnly="0" labelOnly="1" outline="0" axis="axisRow" fieldPosition="0"/>
    </format>
    <format dxfId="9">
      <pivotArea dataOnly="0" labelOnly="1" fieldPosition="0">
        <references count="1">
          <reference field="0" count="0"/>
        </references>
      </pivotArea>
    </format>
    <format dxfId="8">
      <pivotArea dataOnly="0" labelOnly="1" grandRow="1" outline="0" fieldPosition="0"/>
    </format>
    <format dxfId="7">
      <pivotArea dataOnly="0" labelOnly="1" fieldPosition="0">
        <references count="2">
          <reference field="0" count="1" selected="0">
            <x v="0"/>
          </reference>
          <reference field="3" count="0"/>
        </references>
      </pivotArea>
    </format>
    <format dxfId="6">
      <pivotArea dataOnly="0" labelOnly="1" fieldPosition="0">
        <references count="2">
          <reference field="0" count="1" selected="0">
            <x v="1"/>
          </reference>
          <reference field="3" count="0"/>
        </references>
      </pivotArea>
    </format>
    <format dxfId="5">
      <pivotArea dataOnly="0" labelOnly="1" fieldPosition="0">
        <references count="2">
          <reference field="0" count="1" selected="0">
            <x v="2"/>
          </reference>
          <reference field="3" count="0"/>
        </references>
      </pivotArea>
    </format>
    <format dxfId="4">
      <pivotArea dataOnly="0" labelOnly="1" outline="0" fieldPosition="0">
        <references count="1">
          <reference field="4294967294" count="2">
            <x v="0"/>
            <x v="1"/>
          </reference>
        </references>
      </pivotArea>
    </format>
    <format dxfId="3">
      <pivotArea outline="0" collapsedLevelsAreSubtotals="1" fieldPosition="0">
        <references count="1">
          <reference field="4294967294" count="1" selected="0">
            <x v="0"/>
          </reference>
        </references>
      </pivotArea>
    </format>
    <format dxfId="2">
      <pivotArea dataOnly="0" labelOnly="1" outline="0" fieldPosition="0">
        <references count="1">
          <reference field="4294967294" count="1">
            <x v="0"/>
          </reference>
        </references>
      </pivotArea>
    </format>
    <format dxfId="1">
      <pivotArea dataOnly="0" fieldPosition="0">
        <references count="1">
          <reference field="3" count="0"/>
        </references>
      </pivotArea>
    </format>
    <format dxfId="0">
      <pivotArea dataOnly="0" fieldPosition="0">
        <references count="1">
          <reference field="3" count="4">
            <x v="1"/>
            <x v="2"/>
            <x v="3"/>
            <x v="4"/>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3" showRowHeaders="1" showColHeaders="1" showRowStripes="0" showColStripes="0" showLastColumn="1"/>
  <rowHierarchiesUsage count="2">
    <rowHierarchyUsage hierarchyUsage="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302B510-FF89-413E-B4D5-2916C682775F}" name="PivotTable7" cacheId="1" dataPosition="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G25:I31" firstHeaderRow="0"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2">
    <i>
      <x/>
    </i>
    <i i="1">
      <x v="1"/>
    </i>
  </colItems>
  <dataFields count="2">
    <dataField name="Sum of Annual_Salary_USD" fld="1" baseField="0" baseItem="0"/>
    <dataField name="Count of Employee_ID" fld="2" subtotal="count" baseField="0" baseItem="0"/>
  </dataFields>
  <formats count="11">
    <format dxfId="28">
      <pivotArea type="all" dataOnly="0" outline="0" fieldPosition="0"/>
    </format>
    <format dxfId="27">
      <pivotArea outline="0" collapsedLevelsAreSubtotals="1" fieldPosition="0"/>
    </format>
    <format dxfId="26">
      <pivotArea field="0" type="button" dataOnly="0" labelOnly="1" outline="0" axis="axisRow" fieldPosition="0"/>
    </format>
    <format dxfId="25">
      <pivotArea dataOnly="0" labelOnly="1" outline="0" fieldPosition="0">
        <references count="1">
          <reference field="4294967294" count="2">
            <x v="0"/>
            <x v="1"/>
          </reference>
        </references>
      </pivotArea>
    </format>
    <format dxfId="24">
      <pivotArea outline="0" collapsedLevelsAreSubtotals="1" fieldPosition="0"/>
    </format>
    <format dxfId="23">
      <pivotArea dataOnly="0" labelOnly="1" outline="0" fieldPosition="0">
        <references count="1">
          <reference field="4294967294" count="2">
            <x v="0"/>
            <x v="1"/>
          </reference>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format>
    <format dxfId="19">
      <pivotArea dataOnly="0" labelOnly="1" fieldPosition="0">
        <references count="1">
          <reference field="0" count="0"/>
        </references>
      </pivotArea>
    </format>
    <format dxfId="18">
      <pivotArea dataOnly="0" labelOnly="1" grandRow="1" outline="0" fieldPosition="0"/>
    </format>
  </formats>
  <chartFormats count="14">
    <chartFormat chart="12" format="364" series="1">
      <pivotArea type="data" outline="0" fieldPosition="0">
        <references count="2">
          <reference field="4294967294" count="1" selected="0">
            <x v="0"/>
          </reference>
          <reference field="0" count="1" selected="0">
            <x v="0"/>
          </reference>
        </references>
      </pivotArea>
    </chartFormat>
    <chartFormat chart="12" format="365" series="1">
      <pivotArea type="data" outline="0" fieldPosition="0">
        <references count="2">
          <reference field="4294967294" count="1" selected="0">
            <x v="0"/>
          </reference>
          <reference field="0" count="1" selected="0">
            <x v="1"/>
          </reference>
        </references>
      </pivotArea>
    </chartFormat>
    <chartFormat chart="12" format="366" series="1">
      <pivotArea type="data" outline="0" fieldPosition="0">
        <references count="2">
          <reference field="4294967294" count="1" selected="0">
            <x v="0"/>
          </reference>
          <reference field="0" count="1" selected="0">
            <x v="2"/>
          </reference>
        </references>
      </pivotArea>
    </chartFormat>
    <chartFormat chart="12" format="367" series="1">
      <pivotArea type="data" outline="0" fieldPosition="0">
        <references count="2">
          <reference field="4294967294" count="1" selected="0">
            <x v="0"/>
          </reference>
          <reference field="0" count="1" selected="0">
            <x v="3"/>
          </reference>
        </references>
      </pivotArea>
    </chartFormat>
    <chartFormat chart="12" format="368" series="1">
      <pivotArea type="data" outline="0" fieldPosition="0">
        <references count="2">
          <reference field="4294967294" count="1" selected="0">
            <x v="0"/>
          </reference>
          <reference field="0" count="1" selected="0">
            <x v="4"/>
          </reference>
        </references>
      </pivotArea>
    </chartFormat>
    <chartFormat chart="2" format="28" series="1">
      <pivotArea type="data" outline="0" fieldPosition="0">
        <references count="2">
          <reference field="4294967294" count="1" selected="0">
            <x v="0"/>
          </reference>
          <reference field="0" count="1" selected="0">
            <x v="0"/>
          </reference>
        </references>
      </pivotArea>
    </chartFormat>
    <chartFormat chart="2" format="29" series="1">
      <pivotArea type="data" outline="0" fieldPosition="0">
        <references count="2">
          <reference field="4294967294" count="1" selected="0">
            <x v="0"/>
          </reference>
          <reference field="0" count="1" selected="0">
            <x v="1"/>
          </reference>
        </references>
      </pivotArea>
    </chartFormat>
    <chartFormat chart="2" format="30" series="1">
      <pivotArea type="data" outline="0" fieldPosition="0">
        <references count="2">
          <reference field="4294967294" count="1" selected="0">
            <x v="0"/>
          </reference>
          <reference field="0" count="1" selected="0">
            <x v="2"/>
          </reference>
        </references>
      </pivotArea>
    </chartFormat>
    <chartFormat chart="2" format="31" series="1">
      <pivotArea type="data" outline="0" fieldPosition="0">
        <references count="2">
          <reference field="4294967294" count="1" selected="0">
            <x v="0"/>
          </reference>
          <reference field="0" count="1" selected="0">
            <x v="3"/>
          </reference>
        </references>
      </pivotArea>
    </chartFormat>
    <chartFormat chart="2" format="32" series="1">
      <pivotArea type="data" outline="0" fieldPosition="0">
        <references count="2">
          <reference field="4294967294" count="1" selected="0">
            <x v="0"/>
          </reference>
          <reference field="0" count="1" selected="0">
            <x v="4"/>
          </reference>
        </references>
      </pivotArea>
    </chartFormat>
    <chartFormat chart="12" format="369" series="1">
      <pivotArea type="data" outline="0" fieldPosition="0">
        <references count="1">
          <reference field="4294967294" count="1" selected="0">
            <x v="0"/>
          </reference>
        </references>
      </pivotArea>
    </chartFormat>
    <chartFormat chart="12" format="370" series="1">
      <pivotArea type="data" outline="0" fieldPosition="0">
        <references count="1">
          <reference field="4294967294" count="1" selected="0">
            <x v="1"/>
          </reference>
        </references>
      </pivotArea>
    </chartFormat>
    <chartFormat chart="2" format="33" series="1">
      <pivotArea type="data" outline="0" fieldPosition="0">
        <references count="1">
          <reference field="4294967294" count="1" selected="0">
            <x v="0"/>
          </reference>
        </references>
      </pivotArea>
    </chartFormat>
    <chartFormat chart="2" format="34" series="1">
      <pivotArea type="data" outline="0" fieldPosition="0">
        <references count="1">
          <reference field="4294967294" count="1" selected="0">
            <x v="1"/>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8"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leaning Data!$A$1:$I$1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AD789C7-25CE-481B-A8C0-C6B684AA3F29}" name="PivotTable3"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7">
  <location ref="B25:F31" firstHeaderRow="1" firstDataRow="2" firstDataCol="1"/>
  <pivotFields count="9">
    <pivotField compact="0" outline="0" showAll="0"/>
    <pivotField compact="0" outline="0" showAll="0"/>
    <pivotField axis="axisCol" compact="0" outline="0" showAll="0">
      <items count="4">
        <item x="0"/>
        <item x="1"/>
        <item x="2"/>
        <item t="default"/>
      </items>
    </pivotField>
    <pivotField compact="0" outline="0" showAll="0"/>
    <pivotField axis="axisRow" compact="0" outline="0" showAll="0">
      <items count="5">
        <item x="3"/>
        <item x="0"/>
        <item x="1"/>
        <item x="2"/>
        <item t="default"/>
      </items>
    </pivotField>
    <pivotField compact="0" numFmtId="3" outline="0" showAll="0"/>
    <pivotField compact="0" numFmtId="9" outline="0" showAll="0"/>
    <pivotField compact="0" outline="0" showAll="0"/>
    <pivotField dataField="1" compact="0" numFmtId="3" outline="0" showAll="0"/>
  </pivotFields>
  <rowFields count="1">
    <field x="4"/>
  </rowFields>
  <rowItems count="5">
    <i>
      <x/>
    </i>
    <i>
      <x v="1"/>
    </i>
    <i>
      <x v="2"/>
    </i>
    <i>
      <x v="3"/>
    </i>
    <i t="grand">
      <x/>
    </i>
  </rowItems>
  <colFields count="1">
    <field x="2"/>
  </colFields>
  <colItems count="4">
    <i>
      <x/>
    </i>
    <i>
      <x v="1"/>
    </i>
    <i>
      <x v="2"/>
    </i>
    <i t="grand">
      <x/>
    </i>
  </colItems>
  <dataFields count="1">
    <dataField name="Average of Total_Annual_Salary_USD" fld="8" subtotal="average" baseField="0" baseItem="0" numFmtId="3"/>
  </dataFields>
  <formats count="10">
    <format dxfId="38">
      <pivotArea type="all" dataOnly="0" outline="0" fieldPosition="0"/>
    </format>
    <format dxfId="37">
      <pivotArea outline="0" collapsedLevelsAreSubtotals="1" fieldPosition="0"/>
    </format>
    <format dxfId="36">
      <pivotArea type="origin" dataOnly="0" labelOnly="1" outline="0" fieldPosition="0"/>
    </format>
    <format dxfId="35">
      <pivotArea field="2" type="button" dataOnly="0" labelOnly="1" outline="0" axis="axisCol" fieldPosition="0"/>
    </format>
    <format dxfId="34">
      <pivotArea type="topRight" dataOnly="0" labelOnly="1" outline="0" fieldPosition="0"/>
    </format>
    <format dxfId="33">
      <pivotArea field="4" type="button" dataOnly="0" labelOnly="1" outline="0" axis="axisRow" fieldPosition="0"/>
    </format>
    <format dxfId="32">
      <pivotArea dataOnly="0" labelOnly="1" outline="0" fieldPosition="0">
        <references count="1">
          <reference field="4" count="0"/>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s>
  <chartFormats count="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22008889-3A2A-47E7-B57D-40E36E3AA2C6}" sourceName="[Range].[Department]">
  <data>
    <olap pivotCacheId="1217778035">
      <levels count="2">
        <level uniqueName="[Range].[Department].[(All)]" sourceCaption="(All)" count="0"/>
        <level uniqueName="[Range].[Department].[Department]" sourceCaption="Department" count="5">
          <ranges>
            <range startItem="0">
              <i n="[Range].[Department].&amp;[Engineering]" c="Engineering"/>
              <i n="[Range].[Department].&amp;[Finance]" c="Finance"/>
              <i n="[Range].[Department].&amp;[HR]" c="HR"/>
              <i n="[Range].[Department].&amp;[Marketing]" c="Marketing"/>
              <i n="[Range].[Department].&amp;[Sales]" c="Sales"/>
            </range>
          </ranges>
        </level>
      </levels>
      <selections count="1">
        <selection n="[Range].[Department].[All]"/>
      </selections>
    </olap>
  </data>
  <extLst>
    <x:ext xmlns:x15="http://schemas.microsoft.com/office/spreadsheetml/2010/11/main" uri="{03082B11-2C62-411c-B77F-237D8FCFBE4C}">
      <x15:slicerCachePivotTables>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Rating__1_5" xr10:uid="{8445C831-C46E-49E9-B6D9-98A3C29B0474}" sourceName="Performance_Rating (1-5)">
  <pivotTables>
    <pivotTable tabId="14" name="PivotTable9"/>
  </pivotTables>
  <data>
    <tabular pivotCacheId="614405988">
      <items count="4">
        <i x="3"/>
        <i x="0"/>
        <i x="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erformance_Rating (1-5)" xr10:uid="{639DC2A6-A63B-40AC-ABD7-67454E19434B}" cache="Slicer_Performance_Rating__1_5" caption="Performance_Rating (1-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CA8B596B-FF13-474A-B60C-99AAA30482EB}" cache="Slicer_Department" caption="Department" columnCount="3" level="1" style="SlicerStyleDark6" rowHeight="257175"/>
  <slicer name="Performance_Rating (1-5) 1" xr10:uid="{BFFB46B0-BF80-46D6-8291-514B55D6C614}" cache="Slicer_Performance_Rating__1_5" caption="Performance_Rating (1-5)" columnCount="3" style="SlicerStyleDark6"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9.xml"/><Relationship Id="rId7" Type="http://schemas.openxmlformats.org/officeDocument/2006/relationships/ctrlProp" Target="../ctrlProps/ctrlProp2.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vmlDrawing" Target="../drawings/vmlDrawing2.vml"/><Relationship Id="rId5" Type="http://schemas.openxmlformats.org/officeDocument/2006/relationships/drawing" Target="../drawings/drawing5.xml"/><Relationship Id="rId4" Type="http://schemas.openxmlformats.org/officeDocument/2006/relationships/hyperlink" Target="https://drive.google.com/file/d/1loJWgO9ZkudrIQjYO42IMejXMDjF3Xt7/view?usp=sha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DDA5F-141B-4F81-877E-4766553A30B1}">
  <sheetPr codeName="Sheet1"/>
  <dimension ref="D1:S25"/>
  <sheetViews>
    <sheetView showGridLines="0" zoomScale="70" zoomScaleNormal="70" workbookViewId="0">
      <selection activeCell="D8" sqref="D8:O8"/>
    </sheetView>
  </sheetViews>
  <sheetFormatPr defaultRowHeight="14"/>
  <cols>
    <col min="14" max="14" width="18.4140625" customWidth="1"/>
    <col min="15" max="15" width="0.58203125" customWidth="1"/>
  </cols>
  <sheetData>
    <row r="1" spans="4:19">
      <c r="D1" s="93" t="s">
        <v>136</v>
      </c>
      <c r="E1" s="94"/>
      <c r="F1" s="94"/>
      <c r="G1" s="94"/>
      <c r="H1" s="94"/>
      <c r="I1" s="94"/>
      <c r="J1" s="94"/>
      <c r="K1" s="94"/>
      <c r="L1" s="94"/>
      <c r="M1" s="94"/>
      <c r="N1" s="95"/>
    </row>
    <row r="2" spans="4:19">
      <c r="D2" s="96"/>
      <c r="E2" s="97"/>
      <c r="F2" s="97"/>
      <c r="G2" s="97"/>
      <c r="H2" s="97"/>
      <c r="I2" s="97"/>
      <c r="J2" s="97"/>
      <c r="K2" s="97"/>
      <c r="L2" s="97"/>
      <c r="M2" s="97"/>
      <c r="N2" s="98"/>
    </row>
    <row r="3" spans="4:19">
      <c r="D3" s="96"/>
      <c r="E3" s="97"/>
      <c r="F3" s="97"/>
      <c r="G3" s="97"/>
      <c r="H3" s="97"/>
      <c r="I3" s="97"/>
      <c r="J3" s="97"/>
      <c r="K3" s="97"/>
      <c r="L3" s="97"/>
      <c r="M3" s="97"/>
      <c r="N3" s="98"/>
    </row>
    <row r="4" spans="4:19">
      <c r="D4" s="96"/>
      <c r="E4" s="97"/>
      <c r="F4" s="97"/>
      <c r="G4" s="97"/>
      <c r="H4" s="97"/>
      <c r="I4" s="97"/>
      <c r="J4" s="97"/>
      <c r="K4" s="97"/>
      <c r="L4" s="97"/>
      <c r="M4" s="97"/>
      <c r="N4" s="98"/>
    </row>
    <row r="5" spans="4:19" ht="14.5" thickBot="1">
      <c r="D5" s="99"/>
      <c r="E5" s="100"/>
      <c r="F5" s="100"/>
      <c r="G5" s="100"/>
      <c r="H5" s="100"/>
      <c r="I5" s="100"/>
      <c r="J5" s="100"/>
      <c r="K5" s="100"/>
      <c r="L5" s="100"/>
      <c r="M5" s="100"/>
      <c r="N5" s="101"/>
      <c r="S5" s="69"/>
    </row>
    <row r="7" spans="4:19" ht="14.5" thickBot="1"/>
    <row r="8" spans="4:19" ht="14.5" thickBot="1">
      <c r="D8" s="102" t="s">
        <v>117</v>
      </c>
      <c r="E8" s="103"/>
      <c r="F8" s="103"/>
      <c r="G8" s="103"/>
      <c r="H8" s="103"/>
      <c r="I8" s="103"/>
      <c r="J8" s="103"/>
      <c r="K8" s="103"/>
      <c r="L8" s="103"/>
      <c r="M8" s="103"/>
      <c r="N8" s="103"/>
      <c r="O8" s="104"/>
    </row>
    <row r="9" spans="4:19" ht="36.75" customHeight="1" thickBot="1">
      <c r="D9" s="92" t="s">
        <v>118</v>
      </c>
      <c r="E9" s="87"/>
      <c r="F9" s="87"/>
      <c r="G9" s="87"/>
      <c r="H9" s="87"/>
      <c r="I9" s="87"/>
      <c r="J9" s="87"/>
      <c r="K9" s="87"/>
      <c r="L9" s="87"/>
      <c r="M9" s="87"/>
      <c r="N9" s="87"/>
      <c r="O9" s="88"/>
    </row>
    <row r="11" spans="4:19" ht="14.5" thickBot="1"/>
    <row r="12" spans="4:19" ht="14.5" thickBot="1">
      <c r="D12" s="105" t="s">
        <v>119</v>
      </c>
      <c r="E12" s="106"/>
      <c r="F12" s="106"/>
      <c r="G12" s="106"/>
      <c r="H12" s="106"/>
      <c r="I12" s="106"/>
      <c r="J12" s="106"/>
      <c r="K12" s="106"/>
      <c r="L12" s="106"/>
      <c r="M12" s="106"/>
      <c r="N12" s="106"/>
      <c r="O12" s="107"/>
    </row>
    <row r="13" spans="4:19" ht="39" customHeight="1" thickBot="1">
      <c r="D13" s="92" t="s">
        <v>134</v>
      </c>
      <c r="E13" s="87"/>
      <c r="F13" s="87"/>
      <c r="G13" s="87"/>
      <c r="H13" s="87"/>
      <c r="I13" s="87"/>
      <c r="J13" s="87"/>
      <c r="K13" s="87"/>
      <c r="L13" s="87"/>
      <c r="M13" s="87"/>
      <c r="N13" s="87"/>
      <c r="O13" s="88"/>
    </row>
    <row r="15" spans="4:19" ht="14.5" thickBot="1"/>
    <row r="16" spans="4:19" ht="14.5" thickBot="1">
      <c r="D16" s="102" t="s">
        <v>120</v>
      </c>
      <c r="E16" s="103"/>
      <c r="F16" s="103"/>
      <c r="G16" s="103"/>
      <c r="H16" s="103"/>
      <c r="I16" s="103"/>
      <c r="J16" s="103"/>
      <c r="K16" s="103"/>
      <c r="L16" s="103"/>
      <c r="M16" s="103"/>
      <c r="N16" s="103"/>
      <c r="O16" s="104"/>
    </row>
    <row r="17" spans="4:15" ht="43.5" customHeight="1" thickBot="1">
      <c r="D17" s="86" t="s">
        <v>121</v>
      </c>
      <c r="E17" s="87"/>
      <c r="F17" s="87"/>
      <c r="G17" s="87"/>
      <c r="H17" s="87"/>
      <c r="I17" s="87"/>
      <c r="J17" s="87"/>
      <c r="K17" s="87"/>
      <c r="L17" s="87"/>
      <c r="M17" s="87"/>
      <c r="N17" s="87"/>
      <c r="O17" s="88"/>
    </row>
    <row r="19" spans="4:15" ht="14.5" thickBot="1"/>
    <row r="20" spans="4:15" ht="27" customHeight="1" thickBot="1">
      <c r="D20" s="89" t="s">
        <v>122</v>
      </c>
      <c r="E20" s="90"/>
      <c r="F20" s="90"/>
      <c r="G20" s="90"/>
      <c r="H20" s="90"/>
      <c r="I20" s="90"/>
      <c r="J20" s="90"/>
      <c r="K20" s="90"/>
      <c r="L20" s="90"/>
      <c r="M20" s="90"/>
      <c r="N20" s="90"/>
      <c r="O20" s="91"/>
    </row>
    <row r="21" spans="4:15" ht="43.5" customHeight="1" thickBot="1">
      <c r="D21" s="92" t="s">
        <v>123</v>
      </c>
      <c r="E21" s="87"/>
      <c r="F21" s="87"/>
      <c r="G21" s="87"/>
      <c r="H21" s="87"/>
      <c r="I21" s="87"/>
      <c r="J21" s="87"/>
      <c r="K21" s="87"/>
      <c r="L21" s="87"/>
      <c r="M21" s="87"/>
      <c r="N21" s="87"/>
      <c r="O21" s="88"/>
    </row>
    <row r="25" spans="4:15" ht="29.25" customHeight="1"/>
  </sheetData>
  <mergeCells count="9">
    <mergeCell ref="D17:O17"/>
    <mergeCell ref="D20:O20"/>
    <mergeCell ref="D21:O21"/>
    <mergeCell ref="D1:N5"/>
    <mergeCell ref="D8:O8"/>
    <mergeCell ref="D9:O9"/>
    <mergeCell ref="D12:O12"/>
    <mergeCell ref="D13:O13"/>
    <mergeCell ref="D16:O16"/>
  </mergeCells>
  <hyperlinks>
    <hyperlink ref="D8:O8" location="'Raw data'!A1" display="  STEP 1" xr:uid="{C840442C-E813-4B84-819A-7E7ACA08140F}"/>
    <hyperlink ref="D12:O12" location="'Data cleaning process'!A1" display="  STEP 3  ▶  Clean the Data  [ Raw Data → Cleaned Data]" xr:uid="{88219F97-7EDF-401D-A0DF-120849BE1534}"/>
    <hyperlink ref="D16:O16" location="Dashboard!A1" display="  STEP 4 ▶    Build the Dashboard  [Dashboard]" xr:uid="{A1D004CE-A041-4E0A-A0CA-5DFA24FE346D}"/>
    <hyperlink ref="D20:O20" location="Dashboard!A1" display="  STEP 5  ▶  Final Submission  [All Sheets]" xr:uid="{F913F6F2-6489-40E7-9988-F6A17CB87ADF}"/>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94C68-1F35-4E23-9E64-818902305898}">
  <sheetPr codeName="Sheet6"/>
  <dimension ref="B2:M30"/>
  <sheetViews>
    <sheetView showGridLines="0" topLeftCell="A13" workbookViewId="0">
      <selection activeCell="H30" sqref="H30"/>
    </sheetView>
  </sheetViews>
  <sheetFormatPr defaultRowHeight="14"/>
  <cols>
    <col min="8" max="9" width="10.25" customWidth="1"/>
  </cols>
  <sheetData>
    <row r="2" spans="2:2">
      <c r="B2" s="66"/>
    </row>
    <row r="30" spans="4:13">
      <c r="D30" s="68"/>
      <c r="E30" s="68"/>
      <c r="F30" s="68"/>
      <c r="G30" s="68"/>
      <c r="H30" s="73" t="s">
        <v>137</v>
      </c>
      <c r="I30" s="68"/>
      <c r="J30" s="68"/>
      <c r="K30" s="68"/>
      <c r="L30" s="68"/>
      <c r="M30" s="68"/>
    </row>
  </sheetData>
  <hyperlinks>
    <hyperlink ref="H30" location="'Raw data'!A1" display="Raw Data" xr:uid="{332377E1-6622-4A74-BE8B-B76B50C88A1E}"/>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2DF12-301B-4BBC-B24E-61F692F5DC46}">
  <sheetPr codeName="Sheet2"/>
  <dimension ref="A1:I112"/>
  <sheetViews>
    <sheetView topLeftCell="A99" zoomScale="89" zoomScaleNormal="89" workbookViewId="0">
      <selection activeCell="E111" sqref="E111"/>
    </sheetView>
  </sheetViews>
  <sheetFormatPr defaultRowHeight="14"/>
  <cols>
    <col min="1" max="1" width="15.83203125" customWidth="1"/>
    <col min="2" max="2" width="20.58203125" customWidth="1"/>
    <col min="3" max="3" width="20.4140625" customWidth="1"/>
    <col min="4" max="4" width="16.83203125" customWidth="1"/>
    <col min="5" max="5" width="25.1640625" customWidth="1"/>
    <col min="6" max="6" width="25" customWidth="1"/>
    <col min="7" max="7" width="20.75" customWidth="1"/>
    <col min="8" max="8" width="18.1640625" customWidth="1"/>
    <col min="9" max="9" width="29.83203125" customWidth="1"/>
  </cols>
  <sheetData>
    <row r="1" spans="1:9" ht="20.5" thickBot="1">
      <c r="A1" s="1" t="s">
        <v>0</v>
      </c>
      <c r="B1" s="1" t="s">
        <v>1</v>
      </c>
      <c r="C1" s="1" t="s">
        <v>2</v>
      </c>
      <c r="D1" s="1" t="s">
        <v>3</v>
      </c>
      <c r="E1" s="1" t="s">
        <v>4</v>
      </c>
      <c r="F1" s="77" t="s">
        <v>5</v>
      </c>
      <c r="G1" s="78" t="s">
        <v>6</v>
      </c>
      <c r="H1" s="74"/>
      <c r="I1" s="75"/>
    </row>
    <row r="2" spans="1:9" ht="14.5" thickBot="1">
      <c r="A2" s="2" t="s">
        <v>7</v>
      </c>
      <c r="B2" s="2" t="s">
        <v>8</v>
      </c>
      <c r="C2" s="2" t="s">
        <v>9</v>
      </c>
      <c r="D2" s="2">
        <v>2</v>
      </c>
      <c r="E2" s="2">
        <v>3</v>
      </c>
      <c r="F2" s="5">
        <v>55000</v>
      </c>
      <c r="G2" s="79">
        <v>0.05</v>
      </c>
      <c r="H2" s="67"/>
      <c r="I2" s="76"/>
    </row>
    <row r="3" spans="1:9" ht="24" customHeight="1" thickBot="1">
      <c r="A3" s="2" t="s">
        <v>10</v>
      </c>
      <c r="B3" s="2" t="s">
        <v>11</v>
      </c>
      <c r="C3" s="2" t="s">
        <v>12</v>
      </c>
      <c r="D3" s="2">
        <v>5</v>
      </c>
      <c r="E3" s="2">
        <v>4</v>
      </c>
      <c r="F3" s="5">
        <v>95000</v>
      </c>
      <c r="G3" s="79">
        <v>0.12</v>
      </c>
      <c r="H3" s="67"/>
      <c r="I3" s="76"/>
    </row>
    <row r="4" spans="1:9" ht="14.5" thickBot="1">
      <c r="A4" s="2" t="s">
        <v>13</v>
      </c>
      <c r="B4" s="2" t="s">
        <v>14</v>
      </c>
      <c r="C4" s="2" t="s">
        <v>15</v>
      </c>
      <c r="D4" s="2">
        <v>8</v>
      </c>
      <c r="E4" s="2">
        <v>5</v>
      </c>
      <c r="F4" s="5">
        <v>115000</v>
      </c>
      <c r="G4" s="79">
        <v>0.2</v>
      </c>
      <c r="H4" s="67"/>
      <c r="I4" s="76"/>
    </row>
    <row r="5" spans="1:9" ht="14.5" thickBot="1">
      <c r="A5" s="2" t="s">
        <v>16</v>
      </c>
      <c r="B5" s="2" t="s">
        <v>17</v>
      </c>
      <c r="C5" s="2" t="s">
        <v>9</v>
      </c>
      <c r="D5" s="2">
        <v>1</v>
      </c>
      <c r="E5" s="2">
        <v>2</v>
      </c>
      <c r="F5" s="5">
        <v>48000</v>
      </c>
      <c r="G5" s="79">
        <v>0</v>
      </c>
      <c r="H5" s="67"/>
      <c r="I5" s="76"/>
    </row>
    <row r="6" spans="1:9" ht="14.5" thickBot="1">
      <c r="A6" s="2" t="s">
        <v>18</v>
      </c>
      <c r="B6" s="2" t="s">
        <v>11</v>
      </c>
      <c r="C6" s="2" t="s">
        <v>15</v>
      </c>
      <c r="D6" s="2">
        <v>10</v>
      </c>
      <c r="E6" s="2">
        <v>4</v>
      </c>
      <c r="F6" s="5">
        <v>140000</v>
      </c>
      <c r="G6" s="79">
        <v>0.15</v>
      </c>
      <c r="H6" s="67"/>
      <c r="I6" s="76"/>
    </row>
    <row r="7" spans="1:9" ht="14.5" thickBot="1">
      <c r="A7" s="2" t="s">
        <v>19</v>
      </c>
      <c r="B7" s="2" t="s">
        <v>20</v>
      </c>
      <c r="C7" s="2" t="s">
        <v>12</v>
      </c>
      <c r="D7" s="2">
        <v>6</v>
      </c>
      <c r="E7" s="2">
        <v>3</v>
      </c>
      <c r="F7" s="5">
        <v>85000</v>
      </c>
      <c r="G7" s="79">
        <v>7.0000000000000007E-2</v>
      </c>
      <c r="H7" s="67"/>
      <c r="I7" s="76"/>
    </row>
    <row r="8" spans="1:9" ht="14.5" thickBot="1">
      <c r="A8" s="2" t="s">
        <v>21</v>
      </c>
      <c r="B8" s="2" t="s">
        <v>8</v>
      </c>
      <c r="C8" s="2" t="s">
        <v>15</v>
      </c>
      <c r="D8" s="2">
        <v>9</v>
      </c>
      <c r="E8" s="2">
        <v>5</v>
      </c>
      <c r="F8" s="5">
        <v>110000</v>
      </c>
      <c r="G8" s="79">
        <v>0.22</v>
      </c>
      <c r="H8" s="67"/>
      <c r="I8" s="76"/>
    </row>
    <row r="9" spans="1:9" ht="14.5" thickBot="1">
      <c r="A9" s="2" t="s">
        <v>22</v>
      </c>
      <c r="B9" s="2" t="s">
        <v>11</v>
      </c>
      <c r="C9" s="2" t="s">
        <v>9</v>
      </c>
      <c r="D9" s="2">
        <v>3</v>
      </c>
      <c r="E9" s="2">
        <v>4</v>
      </c>
      <c r="F9" s="5">
        <v>78000</v>
      </c>
      <c r="G9" s="79">
        <v>0.1</v>
      </c>
      <c r="H9" s="67"/>
      <c r="I9" s="76"/>
    </row>
    <row r="10" spans="1:9" ht="14.5" thickBot="1">
      <c r="A10" s="2" t="s">
        <v>23</v>
      </c>
      <c r="B10" s="2" t="s">
        <v>14</v>
      </c>
      <c r="C10" s="2" t="s">
        <v>12</v>
      </c>
      <c r="D10" s="2">
        <v>4</v>
      </c>
      <c r="E10" s="2">
        <v>3</v>
      </c>
      <c r="F10" s="5">
        <v>70000</v>
      </c>
      <c r="G10" s="79">
        <v>0.05</v>
      </c>
      <c r="H10" s="67"/>
      <c r="I10" s="76"/>
    </row>
    <row r="11" spans="1:9" ht="14.5" thickBot="1">
      <c r="A11" s="2" t="s">
        <v>24</v>
      </c>
      <c r="B11" s="2" t="s">
        <v>17</v>
      </c>
      <c r="C11" s="2" t="s">
        <v>15</v>
      </c>
      <c r="D11" s="2">
        <v>12</v>
      </c>
      <c r="E11" s="2">
        <v>4</v>
      </c>
      <c r="F11" s="5">
        <v>105000</v>
      </c>
      <c r="G11" s="79">
        <v>0.12</v>
      </c>
      <c r="H11" s="67"/>
      <c r="I11" s="76"/>
    </row>
    <row r="12" spans="1:9" ht="14.5" thickBot="1">
      <c r="A12" s="2" t="s">
        <v>25</v>
      </c>
      <c r="B12" s="2" t="s">
        <v>20</v>
      </c>
      <c r="C12" s="2" t="s">
        <v>9</v>
      </c>
      <c r="D12" s="2">
        <v>2</v>
      </c>
      <c r="E12" s="2">
        <v>3</v>
      </c>
      <c r="F12" s="5">
        <v>60000</v>
      </c>
      <c r="G12" s="79">
        <v>0.04</v>
      </c>
      <c r="H12" s="67"/>
      <c r="I12" s="76"/>
    </row>
    <row r="13" spans="1:9" ht="14.5" thickBot="1">
      <c r="A13" s="2" t="s">
        <v>26</v>
      </c>
      <c r="B13" s="2" t="s">
        <v>11</v>
      </c>
      <c r="C13" s="2" t="s">
        <v>15</v>
      </c>
      <c r="D13" s="2">
        <v>7</v>
      </c>
      <c r="E13" s="2">
        <v>5</v>
      </c>
      <c r="F13" s="5">
        <v>135000</v>
      </c>
      <c r="G13" s="79">
        <v>0.18</v>
      </c>
      <c r="H13" s="67"/>
      <c r="I13" s="76"/>
    </row>
    <row r="14" spans="1:9" ht="14.5" thickBot="1">
      <c r="A14" s="2" t="s">
        <v>27</v>
      </c>
      <c r="B14" s="2" t="s">
        <v>8</v>
      </c>
      <c r="C14" s="2" t="s">
        <v>12</v>
      </c>
      <c r="D14" s="2">
        <v>5</v>
      </c>
      <c r="E14" s="2">
        <v>2</v>
      </c>
      <c r="F14" s="5">
        <v>72000</v>
      </c>
      <c r="G14" s="79">
        <v>0.02</v>
      </c>
      <c r="H14" s="67"/>
      <c r="I14" s="76"/>
    </row>
    <row r="15" spans="1:9" ht="14.5" thickBot="1">
      <c r="A15" s="2" t="s">
        <v>28</v>
      </c>
      <c r="B15" s="2" t="s">
        <v>14</v>
      </c>
      <c r="C15" s="2" t="s">
        <v>9</v>
      </c>
      <c r="D15" s="2">
        <v>2</v>
      </c>
      <c r="E15" s="2">
        <v>4</v>
      </c>
      <c r="F15" s="5">
        <v>58000</v>
      </c>
      <c r="G15" s="79">
        <v>0.08</v>
      </c>
      <c r="H15" s="67"/>
      <c r="I15" s="76"/>
    </row>
    <row r="16" spans="1:9" ht="14.5" thickBot="1">
      <c r="A16" s="2" t="s">
        <v>29</v>
      </c>
      <c r="B16" s="2" t="s">
        <v>11</v>
      </c>
      <c r="C16" s="2" t="s">
        <v>12</v>
      </c>
      <c r="D16" s="2">
        <v>6</v>
      </c>
      <c r="E16" s="2">
        <v>3</v>
      </c>
      <c r="F16" s="5">
        <v>92000</v>
      </c>
      <c r="G16" s="79">
        <v>0.06</v>
      </c>
      <c r="H16" s="67"/>
      <c r="I16" s="76"/>
    </row>
    <row r="17" spans="1:9" ht="14.5" thickBot="1">
      <c r="A17" s="2" t="s">
        <v>30</v>
      </c>
      <c r="B17" s="2" t="s">
        <v>17</v>
      </c>
      <c r="C17" s="2" t="s">
        <v>12</v>
      </c>
      <c r="D17" s="2">
        <v>5</v>
      </c>
      <c r="E17" s="2">
        <v>3</v>
      </c>
      <c r="F17" s="5">
        <v>68000</v>
      </c>
      <c r="G17" s="79">
        <v>0.05</v>
      </c>
      <c r="H17" s="67"/>
      <c r="I17" s="76"/>
    </row>
    <row r="18" spans="1:9" ht="14.5" thickBot="1">
      <c r="A18" s="2" t="s">
        <v>31</v>
      </c>
      <c r="B18" s="2" t="s">
        <v>20</v>
      </c>
      <c r="C18" s="2" t="s">
        <v>15</v>
      </c>
      <c r="D18" s="2">
        <v>11</v>
      </c>
      <c r="E18" s="2">
        <v>5</v>
      </c>
      <c r="F18" s="5">
        <v>125000</v>
      </c>
      <c r="G18" s="79">
        <v>0.2</v>
      </c>
      <c r="H18" s="67"/>
      <c r="I18" s="76"/>
    </row>
    <row r="19" spans="1:9" ht="14.5" thickBot="1">
      <c r="A19" s="2" t="s">
        <v>32</v>
      </c>
      <c r="B19" s="2" t="s">
        <v>8</v>
      </c>
      <c r="C19" s="2" t="s">
        <v>15</v>
      </c>
      <c r="D19" s="2">
        <v>8</v>
      </c>
      <c r="E19" s="2">
        <v>4</v>
      </c>
      <c r="F19" s="5">
        <v>98000</v>
      </c>
      <c r="G19" s="79">
        <v>0.14000000000000001</v>
      </c>
      <c r="H19" s="67"/>
      <c r="I19" s="76"/>
    </row>
    <row r="20" spans="1:9" ht="14.5" thickBot="1">
      <c r="A20" s="2" t="s">
        <v>33</v>
      </c>
      <c r="B20" s="2" t="s">
        <v>11</v>
      </c>
      <c r="C20" s="2" t="s">
        <v>9</v>
      </c>
      <c r="D20" s="2">
        <v>1</v>
      </c>
      <c r="E20" s="2">
        <v>3</v>
      </c>
      <c r="F20" s="5">
        <v>70000</v>
      </c>
      <c r="G20" s="79">
        <v>0.05</v>
      </c>
      <c r="H20" s="67"/>
      <c r="I20" s="76"/>
    </row>
    <row r="21" spans="1:9" ht="14.5" thickBot="1">
      <c r="A21" s="2" t="s">
        <v>34</v>
      </c>
      <c r="B21" s="2" t="s">
        <v>14</v>
      </c>
      <c r="C21" s="2" t="s">
        <v>15</v>
      </c>
      <c r="D21" s="2">
        <v>10</v>
      </c>
      <c r="E21" s="2">
        <v>2</v>
      </c>
      <c r="F21" s="5">
        <v>95000</v>
      </c>
      <c r="G21" s="79">
        <v>0</v>
      </c>
      <c r="H21" s="67"/>
      <c r="I21" s="76"/>
    </row>
    <row r="22" spans="1:9" ht="14.5" thickBot="1">
      <c r="A22" s="2" t="s">
        <v>35</v>
      </c>
      <c r="B22" s="2" t="s">
        <v>20</v>
      </c>
      <c r="C22" s="2" t="s">
        <v>12</v>
      </c>
      <c r="D22" s="2">
        <v>4</v>
      </c>
      <c r="E22" s="2">
        <v>4</v>
      </c>
      <c r="F22" s="5">
        <v>82000</v>
      </c>
      <c r="G22" s="79">
        <v>0.1</v>
      </c>
      <c r="H22" s="67"/>
      <c r="I22" s="76"/>
    </row>
    <row r="23" spans="1:9" ht="14.5" thickBot="1">
      <c r="A23" s="2" t="s">
        <v>36</v>
      </c>
      <c r="B23" s="2" t="s">
        <v>17</v>
      </c>
      <c r="C23" s="2" t="s">
        <v>9</v>
      </c>
      <c r="D23" s="2">
        <v>3</v>
      </c>
      <c r="E23" s="2">
        <v>3</v>
      </c>
      <c r="F23" s="5">
        <v>52000</v>
      </c>
      <c r="G23" s="79">
        <v>0.04</v>
      </c>
      <c r="H23" s="67"/>
      <c r="I23" s="76"/>
    </row>
    <row r="24" spans="1:9" ht="14.5" thickBot="1">
      <c r="A24" s="2" t="s">
        <v>37</v>
      </c>
      <c r="B24" s="2" t="s">
        <v>11</v>
      </c>
      <c r="C24" s="2" t="s">
        <v>15</v>
      </c>
      <c r="D24" s="2">
        <v>9</v>
      </c>
      <c r="E24" s="2">
        <v>5</v>
      </c>
      <c r="F24" s="5">
        <v>145000</v>
      </c>
      <c r="G24" s="79">
        <v>0.25</v>
      </c>
      <c r="H24" s="67"/>
      <c r="I24" s="76"/>
    </row>
    <row r="25" spans="1:9" ht="14.5" thickBot="1">
      <c r="A25" s="2" t="s">
        <v>38</v>
      </c>
      <c r="B25" s="2" t="s">
        <v>8</v>
      </c>
      <c r="C25" s="2" t="s">
        <v>12</v>
      </c>
      <c r="D25" s="2">
        <v>6</v>
      </c>
      <c r="E25" s="2">
        <v>4</v>
      </c>
      <c r="F25" s="5">
        <v>80000</v>
      </c>
      <c r="G25" s="79">
        <v>0.12</v>
      </c>
      <c r="H25" s="67"/>
      <c r="I25" s="76"/>
    </row>
    <row r="26" spans="1:9" ht="14.5" thickBot="1">
      <c r="A26" s="2" t="s">
        <v>39</v>
      </c>
      <c r="B26" s="2" t="s">
        <v>14</v>
      </c>
      <c r="C26" s="2" t="s">
        <v>9</v>
      </c>
      <c r="D26" s="2">
        <v>1</v>
      </c>
      <c r="E26" s="2">
        <v>3</v>
      </c>
      <c r="F26" s="5">
        <v>50000</v>
      </c>
      <c r="G26" s="79">
        <v>0.05</v>
      </c>
      <c r="H26" s="67"/>
      <c r="I26" s="76"/>
    </row>
    <row r="27" spans="1:9" ht="14.5" thickBot="1">
      <c r="A27" s="2" t="s">
        <v>40</v>
      </c>
      <c r="B27" s="2" t="s">
        <v>11</v>
      </c>
      <c r="C27" s="2" t="s">
        <v>12</v>
      </c>
      <c r="D27" s="2">
        <v>5</v>
      </c>
      <c r="E27" s="2">
        <v>4</v>
      </c>
      <c r="F27" s="5">
        <v>96000</v>
      </c>
      <c r="G27" s="79">
        <v>0.11</v>
      </c>
      <c r="H27" s="67"/>
      <c r="I27" s="76"/>
    </row>
    <row r="28" spans="1:9" ht="14.5" thickBot="1">
      <c r="A28" s="2" t="s">
        <v>41</v>
      </c>
      <c r="B28" s="2" t="s">
        <v>20</v>
      </c>
      <c r="C28" s="2" t="s">
        <v>15</v>
      </c>
      <c r="D28" s="2">
        <v>8</v>
      </c>
      <c r="E28" s="2">
        <v>3</v>
      </c>
      <c r="F28" s="5">
        <v>108000</v>
      </c>
      <c r="G28" s="79">
        <v>7.0000000000000007E-2</v>
      </c>
      <c r="H28" s="67"/>
      <c r="I28" s="76"/>
    </row>
    <row r="29" spans="1:9" ht="14.5" thickBot="1">
      <c r="A29" s="2" t="s">
        <v>42</v>
      </c>
      <c r="B29" s="2" t="s">
        <v>8</v>
      </c>
      <c r="C29" s="2" t="s">
        <v>9</v>
      </c>
      <c r="D29" s="2">
        <v>2</v>
      </c>
      <c r="E29" s="2">
        <v>2</v>
      </c>
      <c r="F29" s="5">
        <v>52000</v>
      </c>
      <c r="G29" s="79">
        <v>0</v>
      </c>
      <c r="H29" s="67"/>
      <c r="I29" s="76"/>
    </row>
    <row r="30" spans="1:9" ht="14.5" thickBot="1">
      <c r="A30" s="2" t="s">
        <v>43</v>
      </c>
      <c r="B30" s="2" t="s">
        <v>17</v>
      </c>
      <c r="C30" s="2" t="s">
        <v>15</v>
      </c>
      <c r="D30" s="2">
        <v>14</v>
      </c>
      <c r="E30" s="2">
        <v>5</v>
      </c>
      <c r="F30" s="5">
        <v>118000</v>
      </c>
      <c r="G30" s="79">
        <v>0.18</v>
      </c>
      <c r="H30" s="67"/>
      <c r="I30" s="76"/>
    </row>
    <row r="31" spans="1:9" ht="14.5" thickBot="1">
      <c r="A31" s="2" t="s">
        <v>44</v>
      </c>
      <c r="B31" s="2" t="s">
        <v>11</v>
      </c>
      <c r="C31" s="2" t="s">
        <v>9</v>
      </c>
      <c r="D31" s="2">
        <v>2</v>
      </c>
      <c r="E31" s="2">
        <v>5</v>
      </c>
      <c r="F31" s="5">
        <v>82000</v>
      </c>
      <c r="G31" s="79">
        <v>0.15</v>
      </c>
      <c r="H31" s="67"/>
      <c r="I31" s="76"/>
    </row>
    <row r="32" spans="1:9" ht="14.5" thickBot="1">
      <c r="A32" s="2" t="s">
        <v>45</v>
      </c>
      <c r="B32" s="2" t="s">
        <v>14</v>
      </c>
      <c r="C32" s="2" t="s">
        <v>12</v>
      </c>
      <c r="D32" s="2">
        <v>6</v>
      </c>
      <c r="E32" s="2">
        <v>4</v>
      </c>
      <c r="F32" s="5">
        <v>78000</v>
      </c>
      <c r="G32" s="79">
        <v>0.1</v>
      </c>
      <c r="H32" s="67"/>
      <c r="I32" s="76"/>
    </row>
    <row r="33" spans="1:9" ht="14.5" thickBot="1">
      <c r="A33" s="2" t="s">
        <v>46</v>
      </c>
      <c r="B33" s="2" t="s">
        <v>20</v>
      </c>
      <c r="C33" s="2" t="s">
        <v>9</v>
      </c>
      <c r="D33" s="2">
        <v>1</v>
      </c>
      <c r="E33" s="2">
        <v>3</v>
      </c>
      <c r="F33" s="5">
        <v>58000</v>
      </c>
      <c r="G33" s="79">
        <v>0.04</v>
      </c>
      <c r="H33" s="67"/>
      <c r="I33" s="76"/>
    </row>
    <row r="34" spans="1:9" ht="14.5" thickBot="1">
      <c r="A34" s="2" t="s">
        <v>47</v>
      </c>
      <c r="B34" s="2" t="s">
        <v>8</v>
      </c>
      <c r="C34" s="2" t="s">
        <v>15</v>
      </c>
      <c r="D34" s="2">
        <v>10</v>
      </c>
      <c r="E34" s="2">
        <v>4</v>
      </c>
      <c r="F34" s="5">
        <v>105000</v>
      </c>
      <c r="G34" s="79">
        <v>0.15</v>
      </c>
      <c r="H34" s="67"/>
      <c r="I34" s="76"/>
    </row>
    <row r="35" spans="1:9" ht="14.5" thickBot="1">
      <c r="A35" s="2" t="s">
        <v>48</v>
      </c>
      <c r="B35" s="2" t="s">
        <v>11</v>
      </c>
      <c r="C35" s="2" t="s">
        <v>15</v>
      </c>
      <c r="D35" s="2">
        <v>11</v>
      </c>
      <c r="E35" s="2">
        <v>3</v>
      </c>
      <c r="F35" s="5">
        <v>130000</v>
      </c>
      <c r="G35" s="79">
        <v>0.08</v>
      </c>
      <c r="H35" s="67"/>
      <c r="I35" s="76"/>
    </row>
    <row r="36" spans="1:9" ht="14.5" thickBot="1">
      <c r="A36" s="2" t="s">
        <v>49</v>
      </c>
      <c r="B36" s="2" t="s">
        <v>17</v>
      </c>
      <c r="C36" s="2" t="s">
        <v>12</v>
      </c>
      <c r="D36" s="2">
        <v>4</v>
      </c>
      <c r="E36" s="2">
        <v>4</v>
      </c>
      <c r="F36" s="5">
        <v>72000</v>
      </c>
      <c r="G36" s="79">
        <v>0.09</v>
      </c>
      <c r="H36" s="67"/>
      <c r="I36" s="76"/>
    </row>
    <row r="37" spans="1:9" ht="14.5" thickBot="1">
      <c r="A37" s="2" t="s">
        <v>50</v>
      </c>
      <c r="B37" s="2" t="s">
        <v>14</v>
      </c>
      <c r="C37" s="2" t="s">
        <v>15</v>
      </c>
      <c r="D37" s="2">
        <v>9</v>
      </c>
      <c r="E37" s="2">
        <v>5</v>
      </c>
      <c r="F37" s="5">
        <v>120000</v>
      </c>
      <c r="G37" s="79">
        <v>0.22</v>
      </c>
      <c r="H37" s="67"/>
      <c r="I37" s="76"/>
    </row>
    <row r="38" spans="1:9" ht="14.5" thickBot="1">
      <c r="A38" s="2" t="s">
        <v>51</v>
      </c>
      <c r="B38" s="2" t="s">
        <v>11</v>
      </c>
      <c r="C38" s="2" t="s">
        <v>12</v>
      </c>
      <c r="D38" s="2">
        <v>7</v>
      </c>
      <c r="E38" s="2">
        <v>2</v>
      </c>
      <c r="F38" s="5">
        <v>88000</v>
      </c>
      <c r="G38" s="79">
        <v>0</v>
      </c>
      <c r="H38" s="67"/>
      <c r="I38" s="76"/>
    </row>
    <row r="39" spans="1:9" ht="14.5" thickBot="1">
      <c r="A39" s="2" t="s">
        <v>52</v>
      </c>
      <c r="B39" s="2" t="s">
        <v>8</v>
      </c>
      <c r="C39" s="2" t="s">
        <v>9</v>
      </c>
      <c r="D39" s="2">
        <v>3</v>
      </c>
      <c r="E39" s="2">
        <v>4</v>
      </c>
      <c r="F39" s="5">
        <v>62000</v>
      </c>
      <c r="G39" s="79">
        <v>0.08</v>
      </c>
      <c r="H39" s="67"/>
      <c r="I39" s="76"/>
    </row>
    <row r="40" spans="1:9" ht="14.5" thickBot="1">
      <c r="A40" s="2" t="s">
        <v>53</v>
      </c>
      <c r="B40" s="2" t="s">
        <v>20</v>
      </c>
      <c r="C40" s="2" t="s">
        <v>15</v>
      </c>
      <c r="D40" s="2">
        <v>12</v>
      </c>
      <c r="E40" s="2">
        <v>4</v>
      </c>
      <c r="F40" s="5">
        <v>130000</v>
      </c>
      <c r="G40" s="79">
        <v>0.14000000000000001</v>
      </c>
      <c r="H40" s="67"/>
      <c r="I40" s="76"/>
    </row>
    <row r="41" spans="1:9" ht="14.5" thickBot="1">
      <c r="A41" s="2" t="s">
        <v>54</v>
      </c>
      <c r="B41" s="2" t="s">
        <v>17</v>
      </c>
      <c r="C41" s="2" t="s">
        <v>9</v>
      </c>
      <c r="D41" s="2">
        <v>2</v>
      </c>
      <c r="E41" s="2">
        <v>3</v>
      </c>
      <c r="F41" s="5">
        <v>54000</v>
      </c>
      <c r="G41" s="79">
        <v>0.05</v>
      </c>
      <c r="H41" s="67"/>
      <c r="I41" s="76"/>
    </row>
    <row r="42" spans="1:9" ht="14.5" thickBot="1">
      <c r="A42" s="2" t="s">
        <v>55</v>
      </c>
      <c r="B42" s="2" t="s">
        <v>11</v>
      </c>
      <c r="C42" s="2" t="s">
        <v>15</v>
      </c>
      <c r="D42" s="2">
        <v>8</v>
      </c>
      <c r="E42" s="2">
        <v>5</v>
      </c>
      <c r="F42" s="5">
        <v>138000</v>
      </c>
      <c r="G42" s="79">
        <v>0.2</v>
      </c>
      <c r="H42" s="67"/>
      <c r="I42" s="76"/>
    </row>
    <row r="43" spans="1:9" ht="14.5" thickBot="1">
      <c r="A43" s="2" t="s">
        <v>56</v>
      </c>
      <c r="B43" s="2" t="s">
        <v>14</v>
      </c>
      <c r="C43" s="2" t="s">
        <v>12</v>
      </c>
      <c r="D43" s="2">
        <v>5</v>
      </c>
      <c r="E43" s="2">
        <v>3</v>
      </c>
      <c r="F43" s="5">
        <v>74000</v>
      </c>
      <c r="G43" s="79">
        <v>0.06</v>
      </c>
      <c r="H43" s="67"/>
      <c r="I43" s="76"/>
    </row>
    <row r="44" spans="1:9" ht="14.5" thickBot="1">
      <c r="A44" s="2" t="s">
        <v>57</v>
      </c>
      <c r="B44" s="2" t="s">
        <v>8</v>
      </c>
      <c r="C44" s="2" t="s">
        <v>12</v>
      </c>
      <c r="D44" s="2">
        <v>4</v>
      </c>
      <c r="E44" s="2">
        <v>4</v>
      </c>
      <c r="F44" s="5">
        <v>76000</v>
      </c>
      <c r="G44" s="79">
        <v>0.11</v>
      </c>
      <c r="H44" s="67"/>
      <c r="I44" s="76"/>
    </row>
    <row r="45" spans="1:9" ht="14.5" thickBot="1">
      <c r="A45" s="2" t="s">
        <v>58</v>
      </c>
      <c r="B45" s="2" t="s">
        <v>20</v>
      </c>
      <c r="C45" s="2" t="s">
        <v>9</v>
      </c>
      <c r="D45" s="2">
        <v>3</v>
      </c>
      <c r="E45" s="2">
        <v>2</v>
      </c>
      <c r="F45" s="5">
        <v>62000</v>
      </c>
      <c r="G45" s="79">
        <v>0</v>
      </c>
      <c r="H45" s="67"/>
      <c r="I45" s="76"/>
    </row>
    <row r="46" spans="1:9" ht="14.5" thickBot="1">
      <c r="A46" s="2" t="s">
        <v>59</v>
      </c>
      <c r="B46" s="2" t="s">
        <v>11</v>
      </c>
      <c r="C46" s="2" t="s">
        <v>9</v>
      </c>
      <c r="D46" s="2">
        <v>2</v>
      </c>
      <c r="E46" s="2">
        <v>4</v>
      </c>
      <c r="F46" s="5">
        <v>79000</v>
      </c>
      <c r="G46" s="79">
        <v>0.09</v>
      </c>
      <c r="H46" s="67"/>
      <c r="I46" s="76"/>
    </row>
    <row r="47" spans="1:9" ht="14.5" thickBot="1">
      <c r="A47" s="2" t="s">
        <v>60</v>
      </c>
      <c r="B47" s="2" t="s">
        <v>17</v>
      </c>
      <c r="C47" s="2" t="s">
        <v>15</v>
      </c>
      <c r="D47" s="2">
        <v>10</v>
      </c>
      <c r="E47" s="2">
        <v>3</v>
      </c>
      <c r="F47" s="5">
        <v>98000</v>
      </c>
      <c r="G47" s="79">
        <v>0.06</v>
      </c>
      <c r="H47" s="67"/>
      <c r="I47" s="76"/>
    </row>
    <row r="48" spans="1:9" ht="14.5" thickBot="1">
      <c r="A48" s="2" t="s">
        <v>61</v>
      </c>
      <c r="B48" s="2" t="s">
        <v>14</v>
      </c>
      <c r="C48" s="2" t="s">
        <v>9</v>
      </c>
      <c r="D48" s="2">
        <v>1</v>
      </c>
      <c r="E48" s="2">
        <v>4</v>
      </c>
      <c r="F48" s="5">
        <v>55000</v>
      </c>
      <c r="G48" s="79">
        <v>7.0000000000000007E-2</v>
      </c>
      <c r="H48" s="67"/>
      <c r="I48" s="76"/>
    </row>
    <row r="49" spans="1:9" ht="14.5" thickBot="1">
      <c r="A49" s="2" t="s">
        <v>62</v>
      </c>
      <c r="B49" s="2" t="s">
        <v>8</v>
      </c>
      <c r="C49" s="2" t="s">
        <v>15</v>
      </c>
      <c r="D49" s="2">
        <v>11</v>
      </c>
      <c r="E49" s="2">
        <v>5</v>
      </c>
      <c r="F49" s="5">
        <v>115000</v>
      </c>
      <c r="G49" s="79">
        <v>0.25</v>
      </c>
      <c r="H49" s="67"/>
      <c r="I49" s="76"/>
    </row>
    <row r="50" spans="1:9" ht="14.5" thickBot="1">
      <c r="A50" s="2" t="s">
        <v>63</v>
      </c>
      <c r="B50" s="2" t="s">
        <v>11</v>
      </c>
      <c r="C50" s="2" t="s">
        <v>12</v>
      </c>
      <c r="D50" s="2">
        <v>6</v>
      </c>
      <c r="E50" s="2">
        <v>4</v>
      </c>
      <c r="F50" s="5">
        <v>99000</v>
      </c>
      <c r="G50" s="79">
        <v>0.12</v>
      </c>
      <c r="H50" s="67"/>
      <c r="I50" s="76"/>
    </row>
    <row r="51" spans="1:9" ht="14.5" thickBot="1">
      <c r="A51" s="2" t="s">
        <v>64</v>
      </c>
      <c r="B51" s="2" t="s">
        <v>20</v>
      </c>
      <c r="C51" s="2" t="s">
        <v>12</v>
      </c>
      <c r="D51" s="2">
        <v>5</v>
      </c>
      <c r="E51" s="2">
        <v>3</v>
      </c>
      <c r="F51" s="5">
        <v>84000</v>
      </c>
      <c r="G51" s="79">
        <v>0.05</v>
      </c>
      <c r="H51" s="67"/>
      <c r="I51" s="76"/>
    </row>
    <row r="52" spans="1:9" ht="14.5" thickBot="1">
      <c r="A52" s="2" t="s">
        <v>65</v>
      </c>
      <c r="B52" s="2" t="s">
        <v>17</v>
      </c>
      <c r="C52" s="2" t="s">
        <v>9</v>
      </c>
      <c r="D52" s="2">
        <v>2</v>
      </c>
      <c r="E52" s="2">
        <v>2</v>
      </c>
      <c r="F52" s="5">
        <v>50000</v>
      </c>
      <c r="G52" s="79">
        <v>0</v>
      </c>
      <c r="H52" s="67"/>
      <c r="I52" s="76"/>
    </row>
    <row r="53" spans="1:9" ht="14.5" thickBot="1">
      <c r="A53" s="2" t="s">
        <v>66</v>
      </c>
      <c r="B53" s="2" t="s">
        <v>11</v>
      </c>
      <c r="C53" s="2" t="s">
        <v>15</v>
      </c>
      <c r="D53" s="2">
        <v>13</v>
      </c>
      <c r="E53" s="2">
        <v>4</v>
      </c>
      <c r="F53" s="5">
        <v>150000</v>
      </c>
      <c r="G53" s="79">
        <v>0.16</v>
      </c>
      <c r="H53" s="67"/>
      <c r="I53" s="76"/>
    </row>
    <row r="54" spans="1:9" ht="14.5" thickBot="1">
      <c r="A54" s="2" t="s">
        <v>67</v>
      </c>
      <c r="B54" s="2" t="s">
        <v>8</v>
      </c>
      <c r="C54" s="2" t="s">
        <v>12</v>
      </c>
      <c r="D54" s="2">
        <v>7</v>
      </c>
      <c r="E54" s="2">
        <v>3</v>
      </c>
      <c r="F54" s="5">
        <v>83000</v>
      </c>
      <c r="G54" s="79">
        <v>0.06</v>
      </c>
      <c r="H54" s="67"/>
      <c r="I54" s="76"/>
    </row>
    <row r="55" spans="1:9" ht="14.5" thickBot="1">
      <c r="A55" s="2" t="s">
        <v>68</v>
      </c>
      <c r="B55" s="2" t="s">
        <v>14</v>
      </c>
      <c r="C55" s="2" t="s">
        <v>15</v>
      </c>
      <c r="D55" s="2">
        <v>8</v>
      </c>
      <c r="E55" s="2">
        <v>4</v>
      </c>
      <c r="F55" s="5">
        <v>102000</v>
      </c>
      <c r="G55" s="79">
        <v>0.12</v>
      </c>
      <c r="H55" s="67"/>
      <c r="I55" s="76"/>
    </row>
    <row r="56" spans="1:9" ht="14.5" thickBot="1">
      <c r="A56" s="2" t="s">
        <v>69</v>
      </c>
      <c r="B56" s="2" t="s">
        <v>20</v>
      </c>
      <c r="C56" s="2" t="s">
        <v>15</v>
      </c>
      <c r="D56" s="2">
        <v>9</v>
      </c>
      <c r="E56" s="2">
        <v>5</v>
      </c>
      <c r="F56" s="5">
        <v>122000</v>
      </c>
      <c r="G56" s="79">
        <v>0.2</v>
      </c>
      <c r="H56" s="67"/>
      <c r="I56" s="76"/>
    </row>
    <row r="57" spans="1:9" ht="14.5" thickBot="1">
      <c r="A57" s="2" t="s">
        <v>70</v>
      </c>
      <c r="B57" s="2" t="s">
        <v>11</v>
      </c>
      <c r="C57" s="2" t="s">
        <v>9</v>
      </c>
      <c r="D57" s="2">
        <v>1</v>
      </c>
      <c r="E57" s="2">
        <v>3</v>
      </c>
      <c r="F57" s="5">
        <v>72000</v>
      </c>
      <c r="G57" s="79">
        <v>0.04</v>
      </c>
      <c r="H57" s="67"/>
      <c r="I57" s="76"/>
    </row>
    <row r="58" spans="1:9" ht="14.5" thickBot="1">
      <c r="A58" s="2" t="s">
        <v>71</v>
      </c>
      <c r="B58" s="2" t="s">
        <v>17</v>
      </c>
      <c r="C58" s="2" t="s">
        <v>12</v>
      </c>
      <c r="D58" s="2">
        <v>6</v>
      </c>
      <c r="E58" s="2">
        <v>4</v>
      </c>
      <c r="F58" s="5">
        <v>75000</v>
      </c>
      <c r="G58" s="79">
        <v>0.1</v>
      </c>
      <c r="H58" s="67"/>
      <c r="I58" s="76"/>
    </row>
    <row r="59" spans="1:9" ht="14.5" thickBot="1">
      <c r="A59" s="2" t="s">
        <v>72</v>
      </c>
      <c r="B59" s="2" t="s">
        <v>8</v>
      </c>
      <c r="C59" s="2" t="s">
        <v>9</v>
      </c>
      <c r="D59" s="2">
        <v>1</v>
      </c>
      <c r="E59" s="2">
        <v>3</v>
      </c>
      <c r="F59" s="5">
        <v>54000</v>
      </c>
      <c r="G59" s="79">
        <v>0.05</v>
      </c>
      <c r="H59" s="67"/>
      <c r="I59" s="76"/>
    </row>
    <row r="60" spans="1:9" ht="14.5" thickBot="1">
      <c r="A60" s="2" t="s">
        <v>73</v>
      </c>
      <c r="B60" s="2" t="s">
        <v>14</v>
      </c>
      <c r="C60" s="2" t="s">
        <v>12</v>
      </c>
      <c r="D60" s="2">
        <v>4</v>
      </c>
      <c r="E60" s="2">
        <v>2</v>
      </c>
      <c r="F60" s="5">
        <v>68000</v>
      </c>
      <c r="G60" s="79">
        <v>0</v>
      </c>
      <c r="H60" s="67"/>
      <c r="I60" s="76"/>
    </row>
    <row r="61" spans="1:9" ht="14.5" thickBot="1">
      <c r="A61" s="2" t="s">
        <v>74</v>
      </c>
      <c r="B61" s="2" t="s">
        <v>11</v>
      </c>
      <c r="C61" s="2" t="s">
        <v>15</v>
      </c>
      <c r="D61" s="2">
        <v>12</v>
      </c>
      <c r="E61" s="2">
        <v>5</v>
      </c>
      <c r="F61" s="5">
        <v>148000</v>
      </c>
      <c r="G61" s="79">
        <v>0.22</v>
      </c>
      <c r="H61" s="67"/>
      <c r="I61" s="76"/>
    </row>
    <row r="62" spans="1:9" ht="14.5" thickBot="1">
      <c r="A62" s="2" t="s">
        <v>75</v>
      </c>
      <c r="B62" s="2" t="s">
        <v>20</v>
      </c>
      <c r="C62" s="2" t="s">
        <v>9</v>
      </c>
      <c r="D62" s="2">
        <v>2</v>
      </c>
      <c r="E62" s="2">
        <v>4</v>
      </c>
      <c r="F62" s="5">
        <v>66000</v>
      </c>
      <c r="G62" s="79">
        <v>0.08</v>
      </c>
      <c r="H62" s="67"/>
      <c r="I62" s="76"/>
    </row>
    <row r="63" spans="1:9" ht="14.5" thickBot="1">
      <c r="A63" s="2" t="s">
        <v>76</v>
      </c>
      <c r="B63" s="2" t="s">
        <v>8</v>
      </c>
      <c r="C63" s="2" t="s">
        <v>15</v>
      </c>
      <c r="D63" s="2">
        <v>9</v>
      </c>
      <c r="E63" s="2">
        <v>3</v>
      </c>
      <c r="F63" s="5">
        <v>96000</v>
      </c>
      <c r="G63" s="79">
        <v>7.0000000000000007E-2</v>
      </c>
      <c r="H63" s="67"/>
      <c r="I63" s="76"/>
    </row>
    <row r="64" spans="1:9" ht="14.5" thickBot="1">
      <c r="A64" s="2" t="s">
        <v>77</v>
      </c>
      <c r="B64" s="2" t="s">
        <v>17</v>
      </c>
      <c r="C64" s="2" t="s">
        <v>15</v>
      </c>
      <c r="D64" s="2">
        <v>11</v>
      </c>
      <c r="E64" s="2">
        <v>4</v>
      </c>
      <c r="F64" s="5">
        <v>106000</v>
      </c>
      <c r="G64" s="79">
        <v>0.13</v>
      </c>
      <c r="H64" s="67"/>
      <c r="I64" s="76"/>
    </row>
    <row r="65" spans="1:9" ht="14.5" thickBot="1">
      <c r="A65" s="2" t="s">
        <v>78</v>
      </c>
      <c r="B65" s="2" t="s">
        <v>11</v>
      </c>
      <c r="C65" s="2" t="s">
        <v>12</v>
      </c>
      <c r="D65" s="2">
        <v>5</v>
      </c>
      <c r="E65" s="2">
        <v>3</v>
      </c>
      <c r="F65" s="5">
        <v>94000</v>
      </c>
      <c r="G65" s="79">
        <v>0.06</v>
      </c>
      <c r="H65" s="67"/>
      <c r="I65" s="76"/>
    </row>
    <row r="66" spans="1:9" ht="14.5" thickBot="1">
      <c r="A66" s="2" t="s">
        <v>79</v>
      </c>
      <c r="B66" s="2" t="s">
        <v>14</v>
      </c>
      <c r="C66" s="2" t="s">
        <v>15</v>
      </c>
      <c r="D66" s="2">
        <v>10</v>
      </c>
      <c r="E66" s="2">
        <v>4</v>
      </c>
      <c r="F66" s="5">
        <v>112000</v>
      </c>
      <c r="G66" s="79">
        <v>0.14000000000000001</v>
      </c>
      <c r="H66" s="67"/>
      <c r="I66" s="76"/>
    </row>
    <row r="67" spans="1:9" ht="14.5" thickBot="1">
      <c r="A67" s="2" t="s">
        <v>80</v>
      </c>
      <c r="B67" s="2" t="s">
        <v>20</v>
      </c>
      <c r="C67" s="2" t="s">
        <v>12</v>
      </c>
      <c r="D67" s="2">
        <v>7</v>
      </c>
      <c r="E67" s="2">
        <v>4</v>
      </c>
      <c r="F67" s="5">
        <v>90000</v>
      </c>
      <c r="G67" s="79">
        <v>0.11</v>
      </c>
      <c r="H67" s="67"/>
      <c r="I67" s="76"/>
    </row>
    <row r="68" spans="1:9" ht="14.5" thickBot="1">
      <c r="A68" s="2" t="s">
        <v>81</v>
      </c>
      <c r="B68" s="2" t="s">
        <v>8</v>
      </c>
      <c r="C68" s="2" t="s">
        <v>9</v>
      </c>
      <c r="D68" s="2">
        <v>3</v>
      </c>
      <c r="E68" s="2">
        <v>5</v>
      </c>
      <c r="F68" s="5">
        <v>68000</v>
      </c>
      <c r="G68" s="79">
        <v>0.18</v>
      </c>
      <c r="H68" s="67"/>
      <c r="I68" s="76"/>
    </row>
    <row r="69" spans="1:9" ht="14.5" thickBot="1">
      <c r="A69" s="2" t="s">
        <v>82</v>
      </c>
      <c r="B69" s="2" t="s">
        <v>11</v>
      </c>
      <c r="C69" s="2" t="s">
        <v>9</v>
      </c>
      <c r="D69" s="2">
        <v>2</v>
      </c>
      <c r="E69" s="2">
        <v>2</v>
      </c>
      <c r="F69" s="5">
        <v>74000</v>
      </c>
      <c r="G69" s="79">
        <v>0</v>
      </c>
      <c r="H69" s="67"/>
      <c r="I69" s="76"/>
    </row>
    <row r="70" spans="1:9" ht="14.5" thickBot="1">
      <c r="A70" s="2" t="s">
        <v>83</v>
      </c>
      <c r="B70" s="2" t="s">
        <v>17</v>
      </c>
      <c r="C70" s="2" t="s">
        <v>9</v>
      </c>
      <c r="D70" s="2">
        <v>1</v>
      </c>
      <c r="E70" s="2">
        <v>3</v>
      </c>
      <c r="F70" s="5">
        <v>49000</v>
      </c>
      <c r="G70" s="79">
        <v>0.04</v>
      </c>
      <c r="H70" s="67"/>
      <c r="I70" s="76"/>
    </row>
    <row r="71" spans="1:9" ht="14.5" thickBot="1">
      <c r="A71" s="2" t="s">
        <v>84</v>
      </c>
      <c r="B71" s="2" t="s">
        <v>14</v>
      </c>
      <c r="C71" s="2" t="s">
        <v>12</v>
      </c>
      <c r="D71" s="2">
        <v>5</v>
      </c>
      <c r="E71" s="2">
        <v>4</v>
      </c>
      <c r="F71" s="5">
        <v>80000</v>
      </c>
      <c r="G71" s="79">
        <v>0.1</v>
      </c>
      <c r="H71" s="67"/>
      <c r="I71" s="76"/>
    </row>
    <row r="72" spans="1:9" ht="14.5" thickBot="1">
      <c r="A72" s="2" t="s">
        <v>85</v>
      </c>
      <c r="B72" s="2" t="s">
        <v>11</v>
      </c>
      <c r="C72" s="2" t="s">
        <v>15</v>
      </c>
      <c r="D72" s="2">
        <v>9</v>
      </c>
      <c r="E72" s="2">
        <v>4</v>
      </c>
      <c r="F72" s="5">
        <v>136000</v>
      </c>
      <c r="G72" s="79">
        <v>0.14000000000000001</v>
      </c>
      <c r="H72" s="67"/>
      <c r="I72" s="76"/>
    </row>
    <row r="73" spans="1:9" ht="14.5" thickBot="1">
      <c r="A73" s="2" t="s">
        <v>86</v>
      </c>
      <c r="B73" s="2" t="s">
        <v>20</v>
      </c>
      <c r="C73" s="2" t="s">
        <v>15</v>
      </c>
      <c r="D73" s="2">
        <v>14</v>
      </c>
      <c r="E73" s="2">
        <v>3</v>
      </c>
      <c r="F73" s="5">
        <v>128000</v>
      </c>
      <c r="G73" s="79">
        <v>0.08</v>
      </c>
      <c r="H73" s="67"/>
      <c r="I73" s="76"/>
    </row>
    <row r="74" spans="1:9" ht="14.5" thickBot="1">
      <c r="A74" s="2" t="s">
        <v>87</v>
      </c>
      <c r="B74" s="2" t="s">
        <v>8</v>
      </c>
      <c r="C74" s="2" t="s">
        <v>12</v>
      </c>
      <c r="D74" s="2">
        <v>6</v>
      </c>
      <c r="E74" s="2">
        <v>5</v>
      </c>
      <c r="F74" s="5">
        <v>88000</v>
      </c>
      <c r="G74" s="79">
        <v>0.2</v>
      </c>
      <c r="H74" s="67"/>
      <c r="I74" s="76"/>
    </row>
    <row r="75" spans="1:9" ht="14.5" thickBot="1">
      <c r="A75" s="2" t="s">
        <v>88</v>
      </c>
      <c r="B75" s="2" t="s">
        <v>17</v>
      </c>
      <c r="C75" s="2" t="s">
        <v>12</v>
      </c>
      <c r="D75" s="2">
        <v>4</v>
      </c>
      <c r="E75" s="2">
        <v>2</v>
      </c>
      <c r="F75" s="5">
        <v>66000</v>
      </c>
      <c r="G75" s="79">
        <v>0</v>
      </c>
      <c r="H75" s="67"/>
      <c r="I75" s="76"/>
    </row>
    <row r="76" spans="1:9" ht="14.5" thickBot="1">
      <c r="A76" s="2" t="s">
        <v>89</v>
      </c>
      <c r="B76" s="2" t="s">
        <v>14</v>
      </c>
      <c r="C76" s="2" t="s">
        <v>9</v>
      </c>
      <c r="D76" s="2">
        <v>3</v>
      </c>
      <c r="E76" s="2">
        <v>3</v>
      </c>
      <c r="F76" s="5">
        <v>62000</v>
      </c>
      <c r="G76" s="79">
        <v>0.05</v>
      </c>
      <c r="H76" s="67"/>
      <c r="I76" s="76"/>
    </row>
    <row r="77" spans="1:9" ht="14.5" thickBot="1">
      <c r="A77" s="2" t="s">
        <v>90</v>
      </c>
      <c r="B77" s="2" t="s">
        <v>11</v>
      </c>
      <c r="C77" s="2" t="s">
        <v>12</v>
      </c>
      <c r="D77" s="2">
        <v>7</v>
      </c>
      <c r="E77" s="2">
        <v>5</v>
      </c>
      <c r="F77" s="5">
        <v>105000</v>
      </c>
      <c r="G77" s="79">
        <v>0.18</v>
      </c>
      <c r="H77" s="67"/>
      <c r="I77" s="76"/>
    </row>
    <row r="78" spans="1:9" ht="14.5" thickBot="1">
      <c r="A78" s="2" t="s">
        <v>91</v>
      </c>
      <c r="B78" s="2" t="s">
        <v>20</v>
      </c>
      <c r="C78" s="2" t="s">
        <v>9</v>
      </c>
      <c r="D78" s="2">
        <v>2</v>
      </c>
      <c r="E78" s="2">
        <v>4</v>
      </c>
      <c r="F78" s="5">
        <v>64000</v>
      </c>
      <c r="G78" s="79">
        <v>0.09</v>
      </c>
      <c r="H78" s="67"/>
      <c r="I78" s="76"/>
    </row>
    <row r="79" spans="1:9" ht="14.5" thickBot="1">
      <c r="A79" s="2" t="s">
        <v>92</v>
      </c>
      <c r="B79" s="2" t="s">
        <v>8</v>
      </c>
      <c r="C79" s="2" t="s">
        <v>15</v>
      </c>
      <c r="D79" s="2">
        <v>12</v>
      </c>
      <c r="E79" s="2">
        <v>4</v>
      </c>
      <c r="F79" s="5">
        <v>112000</v>
      </c>
      <c r="G79" s="79">
        <v>0.15</v>
      </c>
      <c r="H79" s="67"/>
      <c r="I79" s="76"/>
    </row>
    <row r="80" spans="1:9" ht="14.5" thickBot="1">
      <c r="A80" s="2" t="s">
        <v>93</v>
      </c>
      <c r="B80" s="2" t="s">
        <v>17</v>
      </c>
      <c r="C80" s="2" t="s">
        <v>15</v>
      </c>
      <c r="D80" s="2">
        <v>8</v>
      </c>
      <c r="E80" s="2">
        <v>5</v>
      </c>
      <c r="F80" s="5">
        <v>102000</v>
      </c>
      <c r="G80" s="79">
        <v>0.18</v>
      </c>
      <c r="H80" s="67"/>
      <c r="I80" s="76"/>
    </row>
    <row r="81" spans="1:9" ht="14.5" thickBot="1">
      <c r="A81" s="2" t="s">
        <v>94</v>
      </c>
      <c r="B81" s="2" t="s">
        <v>11</v>
      </c>
      <c r="C81" s="2" t="s">
        <v>9</v>
      </c>
      <c r="D81" s="2">
        <v>3</v>
      </c>
      <c r="E81" s="2">
        <v>3</v>
      </c>
      <c r="F81" s="5">
        <v>80000</v>
      </c>
      <c r="G81" s="79">
        <v>0.06</v>
      </c>
      <c r="H81" s="67"/>
      <c r="I81" s="76"/>
    </row>
    <row r="82" spans="1:9" ht="14.5" thickBot="1">
      <c r="A82" s="2" t="s">
        <v>95</v>
      </c>
      <c r="B82" s="2" t="s">
        <v>14</v>
      </c>
      <c r="C82" s="2" t="s">
        <v>15</v>
      </c>
      <c r="D82" s="2">
        <v>11</v>
      </c>
      <c r="E82" s="2">
        <v>3</v>
      </c>
      <c r="F82" s="5">
        <v>105000</v>
      </c>
      <c r="G82" s="79">
        <v>7.0000000000000007E-2</v>
      </c>
      <c r="H82" s="67"/>
      <c r="I82" s="76"/>
    </row>
    <row r="83" spans="1:9" ht="14.5" thickBot="1">
      <c r="A83" s="2" t="s">
        <v>96</v>
      </c>
      <c r="B83" s="2" t="s">
        <v>20</v>
      </c>
      <c r="C83" s="2" t="s">
        <v>12</v>
      </c>
      <c r="D83" s="2">
        <v>6</v>
      </c>
      <c r="E83" s="2">
        <v>4</v>
      </c>
      <c r="F83" s="5">
        <v>88000</v>
      </c>
      <c r="G83" s="79">
        <v>0.12</v>
      </c>
      <c r="H83" s="67"/>
      <c r="I83" s="76"/>
    </row>
    <row r="84" spans="1:9" ht="14.5" thickBot="1">
      <c r="A84" s="2" t="s">
        <v>97</v>
      </c>
      <c r="B84" s="2" t="s">
        <v>8</v>
      </c>
      <c r="C84" s="2" t="s">
        <v>9</v>
      </c>
      <c r="D84" s="2">
        <v>2</v>
      </c>
      <c r="E84" s="2">
        <v>3</v>
      </c>
      <c r="F84" s="5">
        <v>56000</v>
      </c>
      <c r="G84" s="79">
        <v>0.05</v>
      </c>
      <c r="H84" s="67"/>
      <c r="I84" s="76"/>
    </row>
    <row r="85" spans="1:9" ht="14.5" thickBot="1">
      <c r="A85" s="2" t="s">
        <v>98</v>
      </c>
      <c r="B85" s="2" t="s">
        <v>11</v>
      </c>
      <c r="C85" s="2" t="s">
        <v>15</v>
      </c>
      <c r="D85" s="2">
        <v>10</v>
      </c>
      <c r="E85" s="2">
        <v>2</v>
      </c>
      <c r="F85" s="5">
        <v>125000</v>
      </c>
      <c r="G85" s="79">
        <v>0</v>
      </c>
      <c r="H85" s="67"/>
      <c r="I85" s="76"/>
    </row>
    <row r="86" spans="1:9" ht="14.5" thickBot="1">
      <c r="A86" s="2" t="s">
        <v>99</v>
      </c>
      <c r="B86" s="2" t="s">
        <v>17</v>
      </c>
      <c r="C86" s="2" t="s">
        <v>9</v>
      </c>
      <c r="D86" s="2">
        <v>2</v>
      </c>
      <c r="E86" s="2">
        <v>4</v>
      </c>
      <c r="F86" s="5">
        <v>56000</v>
      </c>
      <c r="G86" s="79">
        <v>0.08</v>
      </c>
      <c r="H86" s="67"/>
      <c r="I86" s="76"/>
    </row>
    <row r="87" spans="1:9" ht="14.5" thickBot="1">
      <c r="A87" s="2" t="s">
        <v>100</v>
      </c>
      <c r="B87" s="2" t="s">
        <v>14</v>
      </c>
      <c r="C87" s="2" t="s">
        <v>12</v>
      </c>
      <c r="D87" s="2">
        <v>4</v>
      </c>
      <c r="E87" s="2">
        <v>5</v>
      </c>
      <c r="F87" s="5">
        <v>85000</v>
      </c>
      <c r="G87" s="79">
        <v>0.18</v>
      </c>
      <c r="H87" s="67"/>
      <c r="I87" s="76"/>
    </row>
    <row r="88" spans="1:9" ht="33" customHeight="1" thickBot="1">
      <c r="A88" s="2" t="s">
        <v>101</v>
      </c>
      <c r="B88" s="2" t="s">
        <v>11</v>
      </c>
      <c r="C88" s="2" t="s">
        <v>12</v>
      </c>
      <c r="D88" s="2">
        <v>5</v>
      </c>
      <c r="E88" s="2">
        <v>4</v>
      </c>
      <c r="F88" s="5">
        <v>97000</v>
      </c>
      <c r="G88" s="79">
        <v>0.13</v>
      </c>
      <c r="H88" s="67"/>
      <c r="I88" s="76"/>
    </row>
    <row r="89" spans="1:9" ht="28.5" customHeight="1" thickBot="1">
      <c r="A89" s="2" t="s">
        <v>102</v>
      </c>
      <c r="B89" s="2" t="s">
        <v>20</v>
      </c>
      <c r="C89" s="2" t="s">
        <v>15</v>
      </c>
      <c r="D89" s="2">
        <v>10</v>
      </c>
      <c r="E89" s="2">
        <v>4</v>
      </c>
      <c r="F89" s="5">
        <v>118000</v>
      </c>
      <c r="G89" s="79">
        <v>0.14000000000000001</v>
      </c>
      <c r="H89" s="67"/>
      <c r="I89" s="76"/>
    </row>
    <row r="90" spans="1:9" ht="33" customHeight="1" thickBot="1">
      <c r="A90" s="2" t="s">
        <v>103</v>
      </c>
      <c r="B90" s="2" t="s">
        <v>8</v>
      </c>
      <c r="C90" s="2" t="s">
        <v>12</v>
      </c>
      <c r="D90" s="2">
        <v>5</v>
      </c>
      <c r="E90" s="2">
        <v>3</v>
      </c>
      <c r="F90" s="5">
        <v>75000</v>
      </c>
      <c r="G90" s="79">
        <v>0.06</v>
      </c>
      <c r="H90" s="67"/>
      <c r="I90" s="76"/>
    </row>
    <row r="91" spans="1:9" ht="33.75" customHeight="1" thickBot="1">
      <c r="A91" s="2" t="s">
        <v>104</v>
      </c>
      <c r="B91" s="2" t="s">
        <v>17</v>
      </c>
      <c r="C91" s="2" t="s">
        <v>15</v>
      </c>
      <c r="D91" s="2">
        <v>13</v>
      </c>
      <c r="E91" s="2">
        <v>3</v>
      </c>
      <c r="F91" s="5">
        <v>110000</v>
      </c>
      <c r="G91" s="79">
        <v>7.0000000000000007E-2</v>
      </c>
      <c r="H91" s="67"/>
      <c r="I91" s="76"/>
    </row>
    <row r="92" spans="1:9" ht="26.25" customHeight="1" thickBot="1">
      <c r="A92" s="2" t="s">
        <v>105</v>
      </c>
      <c r="B92" s="2" t="s">
        <v>11</v>
      </c>
      <c r="C92" s="2" t="s">
        <v>9</v>
      </c>
      <c r="D92" s="2">
        <v>1</v>
      </c>
      <c r="E92" s="2">
        <v>4</v>
      </c>
      <c r="F92" s="5">
        <v>75000</v>
      </c>
      <c r="G92" s="79">
        <v>0.1</v>
      </c>
      <c r="H92" s="67"/>
      <c r="I92" s="76"/>
    </row>
    <row r="93" spans="1:9" ht="30.75" customHeight="1" thickBot="1">
      <c r="A93" s="2" t="s">
        <v>106</v>
      </c>
      <c r="B93" s="2" t="s">
        <v>14</v>
      </c>
      <c r="C93" s="2" t="s">
        <v>15</v>
      </c>
      <c r="D93" s="2">
        <v>9</v>
      </c>
      <c r="E93" s="2">
        <v>4</v>
      </c>
      <c r="F93" s="5">
        <v>108000</v>
      </c>
      <c r="G93" s="79">
        <v>0.12</v>
      </c>
      <c r="H93" s="67"/>
      <c r="I93" s="76"/>
    </row>
    <row r="94" spans="1:9" ht="30.75" customHeight="1" thickBot="1">
      <c r="A94" s="2" t="s">
        <v>107</v>
      </c>
      <c r="B94" s="2" t="s">
        <v>20</v>
      </c>
      <c r="C94" s="2" t="s">
        <v>12</v>
      </c>
      <c r="D94" s="2">
        <v>5</v>
      </c>
      <c r="E94" s="2">
        <v>5</v>
      </c>
      <c r="F94" s="5">
        <v>94000</v>
      </c>
      <c r="G94" s="79">
        <v>0.2</v>
      </c>
      <c r="H94" s="67"/>
      <c r="I94" s="76"/>
    </row>
    <row r="95" spans="1:9" ht="30" customHeight="1" thickBot="1">
      <c r="A95" s="2" t="s">
        <v>108</v>
      </c>
      <c r="B95" s="2" t="s">
        <v>8</v>
      </c>
      <c r="C95" s="2" t="s">
        <v>15</v>
      </c>
      <c r="D95" s="2">
        <v>8</v>
      </c>
      <c r="E95" s="2">
        <v>2</v>
      </c>
      <c r="F95" s="5">
        <v>90000</v>
      </c>
      <c r="G95" s="79">
        <v>0</v>
      </c>
      <c r="H95" s="67"/>
      <c r="I95" s="76"/>
    </row>
    <row r="96" spans="1:9" ht="31.5" customHeight="1" thickBot="1">
      <c r="A96" s="2" t="s">
        <v>109</v>
      </c>
      <c r="B96" s="2" t="s">
        <v>17</v>
      </c>
      <c r="C96" s="2" t="s">
        <v>12</v>
      </c>
      <c r="D96" s="2">
        <v>7</v>
      </c>
      <c r="E96" s="2">
        <v>3</v>
      </c>
      <c r="F96" s="5">
        <v>78000</v>
      </c>
      <c r="G96" s="79">
        <v>0.05</v>
      </c>
      <c r="H96" s="67"/>
      <c r="I96" s="76"/>
    </row>
    <row r="97" spans="1:9" ht="23.25" customHeight="1" thickBot="1">
      <c r="A97" s="2" t="s">
        <v>110</v>
      </c>
      <c r="B97" s="2" t="s">
        <v>11</v>
      </c>
      <c r="C97" s="2" t="s">
        <v>15</v>
      </c>
      <c r="D97" s="2">
        <v>14</v>
      </c>
      <c r="E97" s="2">
        <v>5</v>
      </c>
      <c r="F97" s="5">
        <v>155000</v>
      </c>
      <c r="G97" s="79">
        <v>0.25</v>
      </c>
      <c r="H97" s="67"/>
      <c r="I97" s="76"/>
    </row>
    <row r="98" spans="1:9" ht="27" customHeight="1" thickBot="1">
      <c r="A98" s="2" t="s">
        <v>111</v>
      </c>
      <c r="B98" s="2" t="s">
        <v>14</v>
      </c>
      <c r="C98" s="2" t="s">
        <v>9</v>
      </c>
      <c r="D98" s="2">
        <v>2</v>
      </c>
      <c r="E98" s="2">
        <v>3</v>
      </c>
      <c r="F98" s="5">
        <v>59000</v>
      </c>
      <c r="G98" s="79">
        <v>0.04</v>
      </c>
      <c r="H98" s="67"/>
      <c r="I98" s="76"/>
    </row>
    <row r="99" spans="1:9" ht="33" customHeight="1" thickBot="1">
      <c r="A99" s="2" t="s">
        <v>112</v>
      </c>
      <c r="B99" s="2" t="s">
        <v>20</v>
      </c>
      <c r="C99" s="2" t="s">
        <v>9</v>
      </c>
      <c r="D99" s="2">
        <v>1</v>
      </c>
      <c r="E99" s="2">
        <v>2</v>
      </c>
      <c r="F99" s="5">
        <v>55000</v>
      </c>
      <c r="G99" s="79">
        <v>0</v>
      </c>
      <c r="H99" s="67"/>
      <c r="I99" s="76"/>
    </row>
    <row r="100" spans="1:9" ht="33" customHeight="1" thickBot="1">
      <c r="A100" s="2" t="s">
        <v>113</v>
      </c>
      <c r="B100" s="2" t="s">
        <v>8</v>
      </c>
      <c r="C100" s="2" t="s">
        <v>12</v>
      </c>
      <c r="D100" s="2">
        <v>6</v>
      </c>
      <c r="E100" s="2">
        <v>4</v>
      </c>
      <c r="F100" s="5">
        <v>84000</v>
      </c>
      <c r="G100" s="79">
        <v>0.11</v>
      </c>
      <c r="H100" s="67"/>
      <c r="I100" s="76"/>
    </row>
    <row r="101" spans="1:9" ht="31.5" customHeight="1" thickBot="1">
      <c r="A101" s="2" t="s">
        <v>114</v>
      </c>
      <c r="B101" s="2" t="s">
        <v>11</v>
      </c>
      <c r="C101" s="2" t="s">
        <v>12</v>
      </c>
      <c r="D101" s="2">
        <v>4</v>
      </c>
      <c r="E101" s="2">
        <v>5</v>
      </c>
      <c r="F101" s="5">
        <v>102000</v>
      </c>
      <c r="G101" s="79">
        <v>0.2</v>
      </c>
      <c r="H101" s="67"/>
      <c r="I101" s="76"/>
    </row>
    <row r="102" spans="1:9" ht="14.5" thickBot="1">
      <c r="A102" s="2" t="s">
        <v>76</v>
      </c>
      <c r="B102" s="2" t="s">
        <v>8</v>
      </c>
      <c r="C102" s="2" t="s">
        <v>15</v>
      </c>
      <c r="D102" s="2">
        <v>9</v>
      </c>
      <c r="E102" s="2">
        <v>3</v>
      </c>
      <c r="F102" s="5">
        <v>96000</v>
      </c>
      <c r="G102" s="79">
        <v>7.0000000000000007E-2</v>
      </c>
    </row>
    <row r="103" spans="1:9" ht="14.5" thickBot="1">
      <c r="A103" s="2" t="s">
        <v>77</v>
      </c>
      <c r="B103" s="2" t="s">
        <v>17</v>
      </c>
      <c r="C103" s="2" t="s">
        <v>15</v>
      </c>
      <c r="D103" s="2">
        <v>11</v>
      </c>
      <c r="E103" s="2">
        <v>4</v>
      </c>
      <c r="F103" s="5">
        <v>106000</v>
      </c>
      <c r="G103" s="79">
        <v>0.13</v>
      </c>
    </row>
    <row r="104" spans="1:9" ht="14.5" thickBot="1">
      <c r="A104" s="2" t="s">
        <v>110</v>
      </c>
      <c r="B104" s="2" t="s">
        <v>11</v>
      </c>
      <c r="C104" s="2" t="s">
        <v>15</v>
      </c>
      <c r="D104" s="2">
        <v>14</v>
      </c>
      <c r="E104" s="2">
        <v>5</v>
      </c>
      <c r="F104" s="5">
        <v>155000</v>
      </c>
      <c r="G104" s="79">
        <v>0.25</v>
      </c>
    </row>
    <row r="105" spans="1:9" ht="14.5" thickBot="1">
      <c r="A105" s="2" t="s">
        <v>111</v>
      </c>
      <c r="B105" s="2" t="s">
        <v>14</v>
      </c>
      <c r="C105" s="2" t="s">
        <v>9</v>
      </c>
      <c r="D105" s="2">
        <v>2</v>
      </c>
      <c r="E105" s="2">
        <v>3</v>
      </c>
      <c r="F105" s="5">
        <v>59000</v>
      </c>
      <c r="G105" s="79">
        <v>0.04</v>
      </c>
    </row>
    <row r="106" spans="1:9" ht="14.5" thickBot="1">
      <c r="A106" s="2" t="s">
        <v>112</v>
      </c>
      <c r="B106" s="2" t="s">
        <v>20</v>
      </c>
      <c r="C106" s="2" t="s">
        <v>9</v>
      </c>
      <c r="D106" s="2">
        <v>1</v>
      </c>
      <c r="E106" s="2">
        <v>2</v>
      </c>
      <c r="F106" s="5">
        <v>55000</v>
      </c>
      <c r="G106" s="79">
        <v>0</v>
      </c>
    </row>
    <row r="107" spans="1:9" ht="14.5" thickBot="1">
      <c r="A107" s="2" t="s">
        <v>99</v>
      </c>
      <c r="B107" s="2" t="s">
        <v>17</v>
      </c>
      <c r="C107" s="2" t="s">
        <v>9</v>
      </c>
      <c r="D107" s="2">
        <v>2</v>
      </c>
      <c r="E107" s="2">
        <v>4</v>
      </c>
      <c r="F107" s="5">
        <v>56000</v>
      </c>
      <c r="G107" s="79">
        <v>0.08</v>
      </c>
    </row>
    <row r="108" spans="1:9" ht="14.5" thickBot="1">
      <c r="A108" s="2" t="s">
        <v>100</v>
      </c>
      <c r="B108" s="2" t="s">
        <v>14</v>
      </c>
      <c r="C108" s="2" t="s">
        <v>12</v>
      </c>
      <c r="D108" s="2">
        <v>4</v>
      </c>
      <c r="E108" s="2">
        <v>5</v>
      </c>
      <c r="F108" s="5">
        <v>85000</v>
      </c>
      <c r="G108" s="80">
        <v>0.18</v>
      </c>
    </row>
    <row r="110" spans="1:9" ht="14.5" thickBot="1"/>
    <row r="111" spans="1:9" ht="46.5" customHeight="1" thickBot="1">
      <c r="E111" s="72" t="s">
        <v>138</v>
      </c>
    </row>
    <row r="112" spans="1:9" ht="46.5" customHeight="1"/>
  </sheetData>
  <hyperlinks>
    <hyperlink ref="E111" location="'Cleaning Data'!A1" display=" Data Cleaning " xr:uid="{1493A74E-5B76-4F63-AD6B-9D67EE2399F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00CBD-73F2-4777-BD0E-F021AFD3D26D}">
  <dimension ref="A1:C7"/>
  <sheetViews>
    <sheetView workbookViewId="0">
      <selection activeCell="C12" sqref="C12"/>
    </sheetView>
  </sheetViews>
  <sheetFormatPr defaultRowHeight="14"/>
  <cols>
    <col min="1" max="1" width="13.4140625" bestFit="1" customWidth="1"/>
    <col min="2" max="2" width="19.75" bestFit="1" customWidth="1"/>
    <col min="3" max="3" width="30.83203125" bestFit="1" customWidth="1"/>
  </cols>
  <sheetData>
    <row r="1" spans="1:3">
      <c r="A1" s="84" t="s">
        <v>127</v>
      </c>
      <c r="B1" t="s">
        <v>130</v>
      </c>
      <c r="C1" t="s">
        <v>124</v>
      </c>
    </row>
    <row r="2" spans="1:3">
      <c r="A2" s="85" t="s">
        <v>11</v>
      </c>
      <c r="B2" s="83">
        <v>211060</v>
      </c>
      <c r="C2" s="3">
        <v>1221060</v>
      </c>
    </row>
    <row r="3" spans="1:3">
      <c r="A3" s="85" t="s">
        <v>20</v>
      </c>
      <c r="B3" s="83">
        <v>68200</v>
      </c>
      <c r="C3" s="3">
        <v>409200</v>
      </c>
    </row>
    <row r="4" spans="1:3">
      <c r="A4" s="85" t="s">
        <v>17</v>
      </c>
      <c r="B4" s="83">
        <v>39600</v>
      </c>
      <c r="C4" s="3">
        <v>259600</v>
      </c>
    </row>
    <row r="5" spans="1:3">
      <c r="A5" s="85" t="s">
        <v>14</v>
      </c>
      <c r="B5" s="83">
        <v>64700</v>
      </c>
      <c r="C5" s="3">
        <v>384700</v>
      </c>
    </row>
    <row r="6" spans="1:3">
      <c r="A6" s="85" t="s">
        <v>8</v>
      </c>
      <c r="B6" s="83">
        <v>82790</v>
      </c>
      <c r="C6" s="3">
        <v>463790</v>
      </c>
    </row>
    <row r="7" spans="1:3">
      <c r="A7" s="85" t="s">
        <v>126</v>
      </c>
      <c r="B7" s="83">
        <v>466350</v>
      </c>
      <c r="C7" s="3">
        <v>2738350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FB2F8-4B56-42B1-9326-72825B2C38AB}">
  <sheetPr codeName="Sheet3"/>
  <dimension ref="A1:I104"/>
  <sheetViews>
    <sheetView showGridLines="0" topLeftCell="E28" zoomScale="80" zoomScaleNormal="80" workbookViewId="0">
      <selection activeCell="K59" sqref="K59"/>
    </sheetView>
  </sheetViews>
  <sheetFormatPr defaultRowHeight="14"/>
  <cols>
    <col min="1" max="1" width="20.25" customWidth="1"/>
    <col min="2" max="2" width="21.83203125" customWidth="1"/>
    <col min="3" max="3" width="21.75" customWidth="1"/>
    <col min="4" max="4" width="20.4140625" customWidth="1"/>
    <col min="5" max="5" width="22.83203125" customWidth="1"/>
    <col min="6" max="6" width="18.4140625" customWidth="1"/>
    <col min="7" max="7" width="22" customWidth="1"/>
    <col min="8" max="8" width="19.75" customWidth="1"/>
    <col min="9" max="9" width="30.75" customWidth="1"/>
  </cols>
  <sheetData>
    <row r="1" spans="1:9" ht="28.5" thickBot="1">
      <c r="A1" s="41" t="s">
        <v>0</v>
      </c>
      <c r="B1" s="41" t="s">
        <v>1</v>
      </c>
      <c r="C1" s="41" t="s">
        <v>2</v>
      </c>
      <c r="D1" s="41" t="s">
        <v>3</v>
      </c>
      <c r="E1" s="41" t="s">
        <v>4</v>
      </c>
      <c r="F1" s="42" t="s">
        <v>5</v>
      </c>
      <c r="G1" s="43" t="s">
        <v>6</v>
      </c>
      <c r="H1" s="44" t="s">
        <v>115</v>
      </c>
      <c r="I1" s="45" t="s">
        <v>116</v>
      </c>
    </row>
    <row r="2" spans="1:9" ht="14.5" thickBot="1">
      <c r="A2" s="2" t="s">
        <v>7</v>
      </c>
      <c r="B2" s="2" t="s">
        <v>8</v>
      </c>
      <c r="C2" s="2" t="s">
        <v>9</v>
      </c>
      <c r="D2" s="2">
        <v>2</v>
      </c>
      <c r="E2" s="2">
        <v>3</v>
      </c>
      <c r="F2" s="5">
        <v>55000</v>
      </c>
      <c r="G2" s="6">
        <v>0.1</v>
      </c>
      <c r="H2" s="81">
        <f>G2*F2</f>
        <v>5500</v>
      </c>
      <c r="I2" s="82">
        <f>SUM(F2,H2)</f>
        <v>60500</v>
      </c>
    </row>
    <row r="3" spans="1:9" ht="14.5" thickBot="1">
      <c r="A3" s="2" t="s">
        <v>10</v>
      </c>
      <c r="B3" s="2" t="s">
        <v>11</v>
      </c>
      <c r="C3" s="2" t="s">
        <v>12</v>
      </c>
      <c r="D3" s="2">
        <v>5</v>
      </c>
      <c r="E3" s="2">
        <v>4</v>
      </c>
      <c r="F3" s="5">
        <v>95000</v>
      </c>
      <c r="G3" s="6">
        <v>0.12</v>
      </c>
      <c r="H3" s="81">
        <f t="shared" ref="H3:H66" si="0">G3*F3</f>
        <v>11400</v>
      </c>
      <c r="I3" s="82">
        <f t="shared" ref="I3:I66" si="1">SUM(F3,H3)</f>
        <v>106400</v>
      </c>
    </row>
    <row r="4" spans="1:9" ht="14.5" thickBot="1">
      <c r="A4" s="2" t="s">
        <v>13</v>
      </c>
      <c r="B4" s="2" t="s">
        <v>14</v>
      </c>
      <c r="C4" s="2" t="s">
        <v>15</v>
      </c>
      <c r="D4" s="2">
        <v>8</v>
      </c>
      <c r="E4" s="2">
        <v>5</v>
      </c>
      <c r="F4" s="5">
        <v>115000</v>
      </c>
      <c r="G4" s="6">
        <v>0.2</v>
      </c>
      <c r="H4" s="81">
        <f t="shared" si="0"/>
        <v>23000</v>
      </c>
      <c r="I4" s="82">
        <f t="shared" si="1"/>
        <v>138000</v>
      </c>
    </row>
    <row r="5" spans="1:9" ht="14.5" thickBot="1">
      <c r="A5" s="2" t="s">
        <v>16</v>
      </c>
      <c r="B5" s="2" t="s">
        <v>17</v>
      </c>
      <c r="C5" s="2" t="s">
        <v>9</v>
      </c>
      <c r="D5" s="2">
        <v>1</v>
      </c>
      <c r="E5" s="2">
        <v>2</v>
      </c>
      <c r="F5" s="5">
        <v>48000</v>
      </c>
      <c r="G5" s="6">
        <v>0</v>
      </c>
      <c r="H5" s="81">
        <f t="shared" si="0"/>
        <v>0</v>
      </c>
      <c r="I5" s="82">
        <f t="shared" si="1"/>
        <v>48000</v>
      </c>
    </row>
    <row r="6" spans="1:9" ht="14.5" thickBot="1">
      <c r="A6" s="2" t="s">
        <v>18</v>
      </c>
      <c r="B6" s="2" t="s">
        <v>11</v>
      </c>
      <c r="C6" s="2" t="s">
        <v>15</v>
      </c>
      <c r="D6" s="2">
        <v>10</v>
      </c>
      <c r="E6" s="2">
        <v>4</v>
      </c>
      <c r="F6" s="5">
        <v>140000</v>
      </c>
      <c r="G6" s="6">
        <v>0.15</v>
      </c>
      <c r="H6" s="81">
        <f t="shared" si="0"/>
        <v>21000</v>
      </c>
      <c r="I6" s="82">
        <f t="shared" si="1"/>
        <v>161000</v>
      </c>
    </row>
    <row r="7" spans="1:9" ht="14.5" thickBot="1">
      <c r="A7" s="2" t="s">
        <v>19</v>
      </c>
      <c r="B7" s="2" t="s">
        <v>20</v>
      </c>
      <c r="C7" s="2" t="s">
        <v>12</v>
      </c>
      <c r="D7" s="2">
        <v>6</v>
      </c>
      <c r="E7" s="2">
        <v>3</v>
      </c>
      <c r="F7" s="5">
        <v>85000</v>
      </c>
      <c r="G7" s="6">
        <v>7.0000000000000007E-2</v>
      </c>
      <c r="H7" s="81">
        <f t="shared" si="0"/>
        <v>5950.0000000000009</v>
      </c>
      <c r="I7" s="82">
        <f t="shared" si="1"/>
        <v>90950</v>
      </c>
    </row>
    <row r="8" spans="1:9" ht="14.5" thickBot="1">
      <c r="A8" s="2" t="s">
        <v>21</v>
      </c>
      <c r="B8" s="2" t="s">
        <v>8</v>
      </c>
      <c r="C8" s="2" t="s">
        <v>15</v>
      </c>
      <c r="D8" s="2">
        <v>9</v>
      </c>
      <c r="E8" s="2">
        <v>5</v>
      </c>
      <c r="F8" s="5">
        <v>110000</v>
      </c>
      <c r="G8" s="6">
        <v>0.22</v>
      </c>
      <c r="H8" s="81">
        <f t="shared" si="0"/>
        <v>24200</v>
      </c>
      <c r="I8" s="82">
        <f t="shared" si="1"/>
        <v>134200</v>
      </c>
    </row>
    <row r="9" spans="1:9" ht="14.5" thickBot="1">
      <c r="A9" s="2" t="s">
        <v>22</v>
      </c>
      <c r="B9" s="2" t="s">
        <v>11</v>
      </c>
      <c r="C9" s="2" t="s">
        <v>9</v>
      </c>
      <c r="D9" s="2">
        <v>3</v>
      </c>
      <c r="E9" s="2">
        <v>4</v>
      </c>
      <c r="F9" s="5">
        <v>78000</v>
      </c>
      <c r="G9" s="6">
        <v>0.1</v>
      </c>
      <c r="H9" s="81">
        <f t="shared" si="0"/>
        <v>7800</v>
      </c>
      <c r="I9" s="82">
        <f t="shared" si="1"/>
        <v>85800</v>
      </c>
    </row>
    <row r="10" spans="1:9" ht="14.5" thickBot="1">
      <c r="A10" s="2" t="s">
        <v>23</v>
      </c>
      <c r="B10" s="2" t="s">
        <v>14</v>
      </c>
      <c r="C10" s="2" t="s">
        <v>12</v>
      </c>
      <c r="D10" s="2">
        <v>4</v>
      </c>
      <c r="E10" s="2">
        <v>3</v>
      </c>
      <c r="F10" s="5">
        <v>70000</v>
      </c>
      <c r="G10" s="6">
        <v>0.05</v>
      </c>
      <c r="H10" s="81">
        <f t="shared" si="0"/>
        <v>3500</v>
      </c>
      <c r="I10" s="82">
        <f t="shared" si="1"/>
        <v>73500</v>
      </c>
    </row>
    <row r="11" spans="1:9" ht="14.5" thickBot="1">
      <c r="A11" s="2" t="s">
        <v>24</v>
      </c>
      <c r="B11" s="2" t="s">
        <v>17</v>
      </c>
      <c r="C11" s="2" t="s">
        <v>15</v>
      </c>
      <c r="D11" s="2">
        <v>12</v>
      </c>
      <c r="E11" s="2">
        <v>4</v>
      </c>
      <c r="F11" s="5">
        <v>105000</v>
      </c>
      <c r="G11" s="6">
        <v>0.12</v>
      </c>
      <c r="H11" s="81">
        <f t="shared" si="0"/>
        <v>12600</v>
      </c>
      <c r="I11" s="82">
        <f t="shared" si="1"/>
        <v>117600</v>
      </c>
    </row>
    <row r="12" spans="1:9" ht="14.5" thickBot="1">
      <c r="A12" s="2" t="s">
        <v>25</v>
      </c>
      <c r="B12" s="2" t="s">
        <v>20</v>
      </c>
      <c r="C12" s="2" t="s">
        <v>9</v>
      </c>
      <c r="D12" s="2">
        <v>2</v>
      </c>
      <c r="E12" s="2">
        <v>3</v>
      </c>
      <c r="F12" s="5">
        <v>60000</v>
      </c>
      <c r="G12" s="6">
        <v>0.04</v>
      </c>
      <c r="H12" s="81">
        <f t="shared" si="0"/>
        <v>2400</v>
      </c>
      <c r="I12" s="82">
        <f t="shared" si="1"/>
        <v>62400</v>
      </c>
    </row>
    <row r="13" spans="1:9" ht="14.5" thickBot="1">
      <c r="A13" s="2" t="s">
        <v>26</v>
      </c>
      <c r="B13" s="2" t="s">
        <v>11</v>
      </c>
      <c r="C13" s="2" t="s">
        <v>15</v>
      </c>
      <c r="D13" s="2">
        <v>7</v>
      </c>
      <c r="E13" s="2">
        <v>5</v>
      </c>
      <c r="F13" s="5">
        <v>135000</v>
      </c>
      <c r="G13" s="6">
        <v>0.18</v>
      </c>
      <c r="H13" s="81">
        <f t="shared" si="0"/>
        <v>24300</v>
      </c>
      <c r="I13" s="82">
        <f t="shared" si="1"/>
        <v>159300</v>
      </c>
    </row>
    <row r="14" spans="1:9" ht="14.5" thickBot="1">
      <c r="A14" s="2" t="s">
        <v>27</v>
      </c>
      <c r="B14" s="2" t="s">
        <v>8</v>
      </c>
      <c r="C14" s="2" t="s">
        <v>12</v>
      </c>
      <c r="D14" s="2">
        <v>5</v>
      </c>
      <c r="E14" s="2">
        <v>2</v>
      </c>
      <c r="F14" s="5">
        <v>72000</v>
      </c>
      <c r="G14" s="6">
        <v>0.02</v>
      </c>
      <c r="H14" s="81">
        <f t="shared" si="0"/>
        <v>1440</v>
      </c>
      <c r="I14" s="82">
        <f t="shared" si="1"/>
        <v>73440</v>
      </c>
    </row>
    <row r="15" spans="1:9" ht="14.5" thickBot="1">
      <c r="A15" s="2" t="s">
        <v>28</v>
      </c>
      <c r="B15" s="2" t="s">
        <v>14</v>
      </c>
      <c r="C15" s="2" t="s">
        <v>9</v>
      </c>
      <c r="D15" s="2">
        <v>2</v>
      </c>
      <c r="E15" s="2">
        <v>4</v>
      </c>
      <c r="F15" s="5">
        <v>58000</v>
      </c>
      <c r="G15" s="6">
        <v>0.08</v>
      </c>
      <c r="H15" s="81">
        <f t="shared" si="0"/>
        <v>4640</v>
      </c>
      <c r="I15" s="82">
        <f t="shared" si="1"/>
        <v>62640</v>
      </c>
    </row>
    <row r="16" spans="1:9" ht="14.5" thickBot="1">
      <c r="A16" s="2" t="s">
        <v>29</v>
      </c>
      <c r="B16" s="2" t="s">
        <v>11</v>
      </c>
      <c r="C16" s="2" t="s">
        <v>12</v>
      </c>
      <c r="D16" s="2">
        <v>6</v>
      </c>
      <c r="E16" s="2">
        <v>3</v>
      </c>
      <c r="F16" s="5">
        <v>92000</v>
      </c>
      <c r="G16" s="6">
        <v>0.06</v>
      </c>
      <c r="H16" s="81">
        <f t="shared" si="0"/>
        <v>5520</v>
      </c>
      <c r="I16" s="82">
        <f t="shared" si="1"/>
        <v>97520</v>
      </c>
    </row>
    <row r="17" spans="1:9" ht="14.5" thickBot="1">
      <c r="A17" s="2" t="s">
        <v>30</v>
      </c>
      <c r="B17" s="2" t="s">
        <v>17</v>
      </c>
      <c r="C17" s="2" t="s">
        <v>12</v>
      </c>
      <c r="D17" s="2">
        <v>5</v>
      </c>
      <c r="E17" s="2">
        <v>3</v>
      </c>
      <c r="F17" s="5">
        <v>68000</v>
      </c>
      <c r="G17" s="6">
        <v>0.05</v>
      </c>
      <c r="H17" s="81">
        <f t="shared" si="0"/>
        <v>3400</v>
      </c>
      <c r="I17" s="82">
        <f t="shared" si="1"/>
        <v>71400</v>
      </c>
    </row>
    <row r="18" spans="1:9" ht="14.5" thickBot="1">
      <c r="A18" s="2" t="s">
        <v>31</v>
      </c>
      <c r="B18" s="2" t="s">
        <v>20</v>
      </c>
      <c r="C18" s="2" t="s">
        <v>15</v>
      </c>
      <c r="D18" s="2">
        <v>11</v>
      </c>
      <c r="E18" s="2">
        <v>5</v>
      </c>
      <c r="F18" s="5">
        <v>125000</v>
      </c>
      <c r="G18" s="6">
        <v>0.2</v>
      </c>
      <c r="H18" s="81">
        <f t="shared" si="0"/>
        <v>25000</v>
      </c>
      <c r="I18" s="82">
        <f t="shared" si="1"/>
        <v>150000</v>
      </c>
    </row>
    <row r="19" spans="1:9" ht="14.5" thickBot="1">
      <c r="A19" s="2" t="s">
        <v>32</v>
      </c>
      <c r="B19" s="2" t="s">
        <v>8</v>
      </c>
      <c r="C19" s="2" t="s">
        <v>15</v>
      </c>
      <c r="D19" s="2">
        <v>8</v>
      </c>
      <c r="E19" s="2">
        <v>4</v>
      </c>
      <c r="F19" s="5">
        <v>98000</v>
      </c>
      <c r="G19" s="6">
        <v>0.14000000000000001</v>
      </c>
      <c r="H19" s="81">
        <f t="shared" si="0"/>
        <v>13720.000000000002</v>
      </c>
      <c r="I19" s="82">
        <f t="shared" si="1"/>
        <v>111720</v>
      </c>
    </row>
    <row r="20" spans="1:9" ht="14.5" thickBot="1">
      <c r="A20" s="2" t="s">
        <v>33</v>
      </c>
      <c r="B20" s="2" t="s">
        <v>11</v>
      </c>
      <c r="C20" s="2" t="s">
        <v>9</v>
      </c>
      <c r="D20" s="2">
        <v>1</v>
      </c>
      <c r="E20" s="2">
        <v>3</v>
      </c>
      <c r="F20" s="5">
        <v>70000</v>
      </c>
      <c r="G20" s="6">
        <v>0.05</v>
      </c>
      <c r="H20" s="81">
        <f t="shared" si="0"/>
        <v>3500</v>
      </c>
      <c r="I20" s="82">
        <f t="shared" si="1"/>
        <v>73500</v>
      </c>
    </row>
    <row r="21" spans="1:9" ht="14.5" thickBot="1">
      <c r="A21" s="2" t="s">
        <v>34</v>
      </c>
      <c r="B21" s="2" t="s">
        <v>14</v>
      </c>
      <c r="C21" s="2" t="s">
        <v>15</v>
      </c>
      <c r="D21" s="2">
        <v>10</v>
      </c>
      <c r="E21" s="2">
        <v>2</v>
      </c>
      <c r="F21" s="5">
        <v>95000</v>
      </c>
      <c r="G21" s="6">
        <v>0</v>
      </c>
      <c r="H21" s="81">
        <f t="shared" si="0"/>
        <v>0</v>
      </c>
      <c r="I21" s="82">
        <f t="shared" si="1"/>
        <v>95000</v>
      </c>
    </row>
    <row r="22" spans="1:9" ht="14.5" thickBot="1">
      <c r="A22" s="2" t="s">
        <v>35</v>
      </c>
      <c r="B22" s="2" t="s">
        <v>20</v>
      </c>
      <c r="C22" s="2" t="s">
        <v>12</v>
      </c>
      <c r="D22" s="2">
        <v>4</v>
      </c>
      <c r="E22" s="2">
        <v>4</v>
      </c>
      <c r="F22" s="5">
        <v>82000</v>
      </c>
      <c r="G22" s="6">
        <v>0.1</v>
      </c>
      <c r="H22" s="81">
        <f t="shared" si="0"/>
        <v>8200</v>
      </c>
      <c r="I22" s="82">
        <f t="shared" si="1"/>
        <v>90200</v>
      </c>
    </row>
    <row r="23" spans="1:9" ht="14.5" thickBot="1">
      <c r="A23" s="2" t="s">
        <v>36</v>
      </c>
      <c r="B23" s="2" t="s">
        <v>17</v>
      </c>
      <c r="C23" s="2" t="s">
        <v>9</v>
      </c>
      <c r="D23" s="2">
        <v>3</v>
      </c>
      <c r="E23" s="2">
        <v>3</v>
      </c>
      <c r="F23" s="5">
        <v>52000</v>
      </c>
      <c r="G23" s="6">
        <v>0.04</v>
      </c>
      <c r="H23" s="81">
        <f t="shared" si="0"/>
        <v>2080</v>
      </c>
      <c r="I23" s="82">
        <f t="shared" si="1"/>
        <v>54080</v>
      </c>
    </row>
    <row r="24" spans="1:9" ht="14.5" thickBot="1">
      <c r="A24" s="2" t="s">
        <v>37</v>
      </c>
      <c r="B24" s="2" t="s">
        <v>11</v>
      </c>
      <c r="C24" s="2" t="s">
        <v>15</v>
      </c>
      <c r="D24" s="2">
        <v>9</v>
      </c>
      <c r="E24" s="2">
        <v>5</v>
      </c>
      <c r="F24" s="5">
        <v>145000</v>
      </c>
      <c r="G24" s="6">
        <v>0.25</v>
      </c>
      <c r="H24" s="81">
        <f t="shared" si="0"/>
        <v>36250</v>
      </c>
      <c r="I24" s="82">
        <f t="shared" si="1"/>
        <v>181250</v>
      </c>
    </row>
    <row r="25" spans="1:9" ht="14.5" thickBot="1">
      <c r="A25" s="2" t="s">
        <v>38</v>
      </c>
      <c r="B25" s="2" t="s">
        <v>8</v>
      </c>
      <c r="C25" s="2" t="s">
        <v>12</v>
      </c>
      <c r="D25" s="2">
        <v>6</v>
      </c>
      <c r="E25" s="2">
        <v>4</v>
      </c>
      <c r="F25" s="5">
        <v>80000</v>
      </c>
      <c r="G25" s="6">
        <v>0.12</v>
      </c>
      <c r="H25" s="81">
        <f t="shared" si="0"/>
        <v>9600</v>
      </c>
      <c r="I25" s="82">
        <f t="shared" si="1"/>
        <v>89600</v>
      </c>
    </row>
    <row r="26" spans="1:9" ht="14.5" thickBot="1">
      <c r="A26" s="2" t="s">
        <v>39</v>
      </c>
      <c r="B26" s="2" t="s">
        <v>14</v>
      </c>
      <c r="C26" s="2" t="s">
        <v>9</v>
      </c>
      <c r="D26" s="2">
        <v>1</v>
      </c>
      <c r="E26" s="2">
        <v>3</v>
      </c>
      <c r="F26" s="5">
        <v>50000</v>
      </c>
      <c r="G26" s="6">
        <v>0.05</v>
      </c>
      <c r="H26" s="81">
        <f t="shared" si="0"/>
        <v>2500</v>
      </c>
      <c r="I26" s="82">
        <f t="shared" si="1"/>
        <v>52500</v>
      </c>
    </row>
    <row r="27" spans="1:9" ht="14.5" thickBot="1">
      <c r="A27" s="2" t="s">
        <v>40</v>
      </c>
      <c r="B27" s="2" t="s">
        <v>11</v>
      </c>
      <c r="C27" s="2" t="s">
        <v>12</v>
      </c>
      <c r="D27" s="2">
        <v>5</v>
      </c>
      <c r="E27" s="2">
        <v>4</v>
      </c>
      <c r="F27" s="5">
        <v>96000</v>
      </c>
      <c r="G27" s="6">
        <v>0.11</v>
      </c>
      <c r="H27" s="81">
        <f t="shared" si="0"/>
        <v>10560</v>
      </c>
      <c r="I27" s="82">
        <f t="shared" si="1"/>
        <v>106560</v>
      </c>
    </row>
    <row r="28" spans="1:9" ht="14.5" thickBot="1">
      <c r="A28" s="2" t="s">
        <v>41</v>
      </c>
      <c r="B28" s="2" t="s">
        <v>20</v>
      </c>
      <c r="C28" s="2" t="s">
        <v>15</v>
      </c>
      <c r="D28" s="2">
        <v>8</v>
      </c>
      <c r="E28" s="2">
        <v>3</v>
      </c>
      <c r="F28" s="5">
        <v>108000</v>
      </c>
      <c r="G28" s="6">
        <v>7.0000000000000007E-2</v>
      </c>
      <c r="H28" s="81">
        <f t="shared" si="0"/>
        <v>7560.0000000000009</v>
      </c>
      <c r="I28" s="82">
        <f t="shared" si="1"/>
        <v>115560</v>
      </c>
    </row>
    <row r="29" spans="1:9" ht="14.5" thickBot="1">
      <c r="A29" s="2" t="s">
        <v>42</v>
      </c>
      <c r="B29" s="2" t="s">
        <v>8</v>
      </c>
      <c r="C29" s="2" t="s">
        <v>9</v>
      </c>
      <c r="D29" s="2">
        <v>2</v>
      </c>
      <c r="E29" s="2">
        <v>2</v>
      </c>
      <c r="F29" s="5">
        <v>52000</v>
      </c>
      <c r="G29" s="6">
        <v>0</v>
      </c>
      <c r="H29" s="81">
        <f t="shared" si="0"/>
        <v>0</v>
      </c>
      <c r="I29" s="82">
        <f t="shared" si="1"/>
        <v>52000</v>
      </c>
    </row>
    <row r="30" spans="1:9" ht="14.5" thickBot="1">
      <c r="A30" s="2" t="s">
        <v>43</v>
      </c>
      <c r="B30" s="2" t="s">
        <v>17</v>
      </c>
      <c r="C30" s="2" t="s">
        <v>15</v>
      </c>
      <c r="D30" s="2">
        <v>14</v>
      </c>
      <c r="E30" s="2">
        <v>5</v>
      </c>
      <c r="F30" s="5">
        <v>118000</v>
      </c>
      <c r="G30" s="6">
        <v>0.18</v>
      </c>
      <c r="H30" s="81">
        <f t="shared" si="0"/>
        <v>21240</v>
      </c>
      <c r="I30" s="82">
        <f t="shared" si="1"/>
        <v>139240</v>
      </c>
    </row>
    <row r="31" spans="1:9" ht="14.5" thickBot="1">
      <c r="A31" s="2" t="s">
        <v>44</v>
      </c>
      <c r="B31" s="2" t="s">
        <v>11</v>
      </c>
      <c r="C31" s="2" t="s">
        <v>9</v>
      </c>
      <c r="D31" s="2">
        <v>2</v>
      </c>
      <c r="E31" s="2">
        <v>5</v>
      </c>
      <c r="F31" s="5">
        <v>82000</v>
      </c>
      <c r="G31" s="6">
        <v>0.15</v>
      </c>
      <c r="H31" s="81">
        <f t="shared" si="0"/>
        <v>12300</v>
      </c>
      <c r="I31" s="82">
        <f t="shared" si="1"/>
        <v>94300</v>
      </c>
    </row>
    <row r="32" spans="1:9" ht="14.5" thickBot="1">
      <c r="A32" s="2" t="s">
        <v>45</v>
      </c>
      <c r="B32" s="2" t="s">
        <v>14</v>
      </c>
      <c r="C32" s="2" t="s">
        <v>12</v>
      </c>
      <c r="D32" s="2">
        <v>6</v>
      </c>
      <c r="E32" s="2">
        <v>4</v>
      </c>
      <c r="F32" s="5">
        <v>78000</v>
      </c>
      <c r="G32" s="6">
        <v>0.1</v>
      </c>
      <c r="H32" s="81">
        <f t="shared" si="0"/>
        <v>7800</v>
      </c>
      <c r="I32" s="82">
        <f t="shared" si="1"/>
        <v>85800</v>
      </c>
    </row>
    <row r="33" spans="1:9" ht="14.5" thickBot="1">
      <c r="A33" s="2" t="s">
        <v>46</v>
      </c>
      <c r="B33" s="2" t="s">
        <v>20</v>
      </c>
      <c r="C33" s="2" t="s">
        <v>9</v>
      </c>
      <c r="D33" s="2">
        <v>1</v>
      </c>
      <c r="E33" s="2">
        <v>3</v>
      </c>
      <c r="F33" s="5">
        <v>58000</v>
      </c>
      <c r="G33" s="6">
        <v>0.04</v>
      </c>
      <c r="H33" s="81">
        <f t="shared" si="0"/>
        <v>2320</v>
      </c>
      <c r="I33" s="82">
        <f t="shared" si="1"/>
        <v>60320</v>
      </c>
    </row>
    <row r="34" spans="1:9" ht="14.5" thickBot="1">
      <c r="A34" s="2" t="s">
        <v>47</v>
      </c>
      <c r="B34" s="2" t="s">
        <v>8</v>
      </c>
      <c r="C34" s="2" t="s">
        <v>15</v>
      </c>
      <c r="D34" s="2">
        <v>10</v>
      </c>
      <c r="E34" s="2">
        <v>4</v>
      </c>
      <c r="F34" s="5">
        <v>105000</v>
      </c>
      <c r="G34" s="6">
        <v>0.15</v>
      </c>
      <c r="H34" s="81">
        <f t="shared" si="0"/>
        <v>15750</v>
      </c>
      <c r="I34" s="82">
        <f t="shared" si="1"/>
        <v>120750</v>
      </c>
    </row>
    <row r="35" spans="1:9" ht="14.5" thickBot="1">
      <c r="A35" s="2" t="s">
        <v>48</v>
      </c>
      <c r="B35" s="2" t="s">
        <v>11</v>
      </c>
      <c r="C35" s="2" t="s">
        <v>15</v>
      </c>
      <c r="D35" s="2">
        <v>11</v>
      </c>
      <c r="E35" s="2">
        <v>3</v>
      </c>
      <c r="F35" s="5">
        <v>130000</v>
      </c>
      <c r="G35" s="6">
        <v>0.08</v>
      </c>
      <c r="H35" s="81">
        <f t="shared" si="0"/>
        <v>10400</v>
      </c>
      <c r="I35" s="82">
        <f t="shared" si="1"/>
        <v>140400</v>
      </c>
    </row>
    <row r="36" spans="1:9" ht="14.5" thickBot="1">
      <c r="A36" s="2" t="s">
        <v>49</v>
      </c>
      <c r="B36" s="2" t="s">
        <v>17</v>
      </c>
      <c r="C36" s="2" t="s">
        <v>12</v>
      </c>
      <c r="D36" s="2">
        <v>4</v>
      </c>
      <c r="E36" s="2">
        <v>4</v>
      </c>
      <c r="F36" s="5">
        <v>72000</v>
      </c>
      <c r="G36" s="6">
        <v>0.09</v>
      </c>
      <c r="H36" s="81">
        <f t="shared" si="0"/>
        <v>6480</v>
      </c>
      <c r="I36" s="82">
        <f t="shared" si="1"/>
        <v>78480</v>
      </c>
    </row>
    <row r="37" spans="1:9" ht="14.5" thickBot="1">
      <c r="A37" s="2" t="s">
        <v>50</v>
      </c>
      <c r="B37" s="2" t="s">
        <v>14</v>
      </c>
      <c r="C37" s="2" t="s">
        <v>15</v>
      </c>
      <c r="D37" s="2">
        <v>9</v>
      </c>
      <c r="E37" s="2">
        <v>5</v>
      </c>
      <c r="F37" s="5">
        <v>120000</v>
      </c>
      <c r="G37" s="6">
        <v>0.22</v>
      </c>
      <c r="H37" s="81">
        <f t="shared" si="0"/>
        <v>26400</v>
      </c>
      <c r="I37" s="82">
        <f t="shared" si="1"/>
        <v>146400</v>
      </c>
    </row>
    <row r="38" spans="1:9" ht="14.5" thickBot="1">
      <c r="A38" s="2" t="s">
        <v>51</v>
      </c>
      <c r="B38" s="2" t="s">
        <v>11</v>
      </c>
      <c r="C38" s="2" t="s">
        <v>12</v>
      </c>
      <c r="D38" s="2">
        <v>7</v>
      </c>
      <c r="E38" s="2">
        <v>2</v>
      </c>
      <c r="F38" s="5">
        <v>88000</v>
      </c>
      <c r="G38" s="6">
        <v>0</v>
      </c>
      <c r="H38" s="81">
        <f t="shared" si="0"/>
        <v>0</v>
      </c>
      <c r="I38" s="82">
        <f t="shared" si="1"/>
        <v>88000</v>
      </c>
    </row>
    <row r="39" spans="1:9" ht="14.5" thickBot="1">
      <c r="A39" s="2" t="s">
        <v>52</v>
      </c>
      <c r="B39" s="2" t="s">
        <v>8</v>
      </c>
      <c r="C39" s="2" t="s">
        <v>9</v>
      </c>
      <c r="D39" s="2">
        <v>3</v>
      </c>
      <c r="E39" s="2">
        <v>4</v>
      </c>
      <c r="F39" s="5">
        <v>62000</v>
      </c>
      <c r="G39" s="6">
        <v>0.08</v>
      </c>
      <c r="H39" s="81">
        <f t="shared" si="0"/>
        <v>4960</v>
      </c>
      <c r="I39" s="82">
        <f t="shared" si="1"/>
        <v>66960</v>
      </c>
    </row>
    <row r="40" spans="1:9" ht="14.5" thickBot="1">
      <c r="A40" s="2" t="s">
        <v>53</v>
      </c>
      <c r="B40" s="2" t="s">
        <v>20</v>
      </c>
      <c r="C40" s="2" t="s">
        <v>15</v>
      </c>
      <c r="D40" s="2">
        <v>12</v>
      </c>
      <c r="E40" s="2">
        <v>4</v>
      </c>
      <c r="F40" s="5">
        <v>130000</v>
      </c>
      <c r="G40" s="6">
        <v>0.14000000000000001</v>
      </c>
      <c r="H40" s="81">
        <f t="shared" si="0"/>
        <v>18200</v>
      </c>
      <c r="I40" s="82">
        <f t="shared" si="1"/>
        <v>148200</v>
      </c>
    </row>
    <row r="41" spans="1:9" ht="14.5" thickBot="1">
      <c r="A41" s="2" t="s">
        <v>54</v>
      </c>
      <c r="B41" s="2" t="s">
        <v>17</v>
      </c>
      <c r="C41" s="2" t="s">
        <v>9</v>
      </c>
      <c r="D41" s="2">
        <v>2</v>
      </c>
      <c r="E41" s="2">
        <v>3</v>
      </c>
      <c r="F41" s="5">
        <v>54000</v>
      </c>
      <c r="G41" s="6">
        <v>0.05</v>
      </c>
      <c r="H41" s="81">
        <f t="shared" si="0"/>
        <v>2700</v>
      </c>
      <c r="I41" s="82">
        <f t="shared" si="1"/>
        <v>56700</v>
      </c>
    </row>
    <row r="42" spans="1:9" ht="14.5" thickBot="1">
      <c r="A42" s="2" t="s">
        <v>55</v>
      </c>
      <c r="B42" s="2" t="s">
        <v>11</v>
      </c>
      <c r="C42" s="2" t="s">
        <v>15</v>
      </c>
      <c r="D42" s="2">
        <v>8</v>
      </c>
      <c r="E42" s="2">
        <v>5</v>
      </c>
      <c r="F42" s="5">
        <v>138000</v>
      </c>
      <c r="G42" s="6">
        <v>0.2</v>
      </c>
      <c r="H42" s="81">
        <f t="shared" si="0"/>
        <v>27600</v>
      </c>
      <c r="I42" s="82">
        <f t="shared" si="1"/>
        <v>165600</v>
      </c>
    </row>
    <row r="43" spans="1:9" ht="14.5" thickBot="1">
      <c r="A43" s="2" t="s">
        <v>56</v>
      </c>
      <c r="B43" s="2" t="s">
        <v>14</v>
      </c>
      <c r="C43" s="2" t="s">
        <v>12</v>
      </c>
      <c r="D43" s="2">
        <v>5</v>
      </c>
      <c r="E43" s="2">
        <v>3</v>
      </c>
      <c r="F43" s="5">
        <v>74000</v>
      </c>
      <c r="G43" s="6">
        <v>0.06</v>
      </c>
      <c r="H43" s="81">
        <f t="shared" si="0"/>
        <v>4440</v>
      </c>
      <c r="I43" s="82">
        <f t="shared" si="1"/>
        <v>78440</v>
      </c>
    </row>
    <row r="44" spans="1:9" ht="14.5" thickBot="1">
      <c r="A44" s="2" t="s">
        <v>57</v>
      </c>
      <c r="B44" s="2" t="s">
        <v>8</v>
      </c>
      <c r="C44" s="2" t="s">
        <v>12</v>
      </c>
      <c r="D44" s="2">
        <v>4</v>
      </c>
      <c r="E44" s="2">
        <v>4</v>
      </c>
      <c r="F44" s="5">
        <v>76000</v>
      </c>
      <c r="G44" s="6">
        <v>0.11</v>
      </c>
      <c r="H44" s="81">
        <f t="shared" si="0"/>
        <v>8360</v>
      </c>
      <c r="I44" s="82">
        <f t="shared" si="1"/>
        <v>84360</v>
      </c>
    </row>
    <row r="45" spans="1:9" ht="14.5" thickBot="1">
      <c r="A45" s="2" t="s">
        <v>58</v>
      </c>
      <c r="B45" s="2" t="s">
        <v>20</v>
      </c>
      <c r="C45" s="2" t="s">
        <v>9</v>
      </c>
      <c r="D45" s="2">
        <v>3</v>
      </c>
      <c r="E45" s="2">
        <v>2</v>
      </c>
      <c r="F45" s="5">
        <v>62000</v>
      </c>
      <c r="G45" s="6">
        <v>0</v>
      </c>
      <c r="H45" s="81">
        <f t="shared" si="0"/>
        <v>0</v>
      </c>
      <c r="I45" s="82">
        <f t="shared" si="1"/>
        <v>62000</v>
      </c>
    </row>
    <row r="46" spans="1:9" ht="14.5" thickBot="1">
      <c r="A46" s="2" t="s">
        <v>59</v>
      </c>
      <c r="B46" s="2" t="s">
        <v>11</v>
      </c>
      <c r="C46" s="2" t="s">
        <v>9</v>
      </c>
      <c r="D46" s="2">
        <v>2</v>
      </c>
      <c r="E46" s="2">
        <v>4</v>
      </c>
      <c r="F46" s="5">
        <v>79000</v>
      </c>
      <c r="G46" s="6">
        <v>0.09</v>
      </c>
      <c r="H46" s="81">
        <f t="shared" si="0"/>
        <v>7110</v>
      </c>
      <c r="I46" s="82">
        <f t="shared" si="1"/>
        <v>86110</v>
      </c>
    </row>
    <row r="47" spans="1:9" ht="14.5" thickBot="1">
      <c r="A47" s="2" t="s">
        <v>60</v>
      </c>
      <c r="B47" s="2" t="s">
        <v>17</v>
      </c>
      <c r="C47" s="2" t="s">
        <v>15</v>
      </c>
      <c r="D47" s="2">
        <v>10</v>
      </c>
      <c r="E47" s="2">
        <v>3</v>
      </c>
      <c r="F47" s="5">
        <v>98000</v>
      </c>
      <c r="G47" s="6">
        <v>0.06</v>
      </c>
      <c r="H47" s="81">
        <f t="shared" si="0"/>
        <v>5880</v>
      </c>
      <c r="I47" s="82">
        <f t="shared" si="1"/>
        <v>103880</v>
      </c>
    </row>
    <row r="48" spans="1:9" ht="14.5" thickBot="1">
      <c r="A48" s="2" t="s">
        <v>61</v>
      </c>
      <c r="B48" s="2" t="s">
        <v>14</v>
      </c>
      <c r="C48" s="2" t="s">
        <v>9</v>
      </c>
      <c r="D48" s="2">
        <v>1</v>
      </c>
      <c r="E48" s="2">
        <v>4</v>
      </c>
      <c r="F48" s="5">
        <v>55000</v>
      </c>
      <c r="G48" s="6">
        <v>7.0000000000000007E-2</v>
      </c>
      <c r="H48" s="81">
        <f t="shared" si="0"/>
        <v>3850.0000000000005</v>
      </c>
      <c r="I48" s="82">
        <f t="shared" si="1"/>
        <v>58850</v>
      </c>
    </row>
    <row r="49" spans="1:9" ht="14.5" thickBot="1">
      <c r="A49" s="2" t="s">
        <v>62</v>
      </c>
      <c r="B49" s="2" t="s">
        <v>8</v>
      </c>
      <c r="C49" s="2" t="s">
        <v>15</v>
      </c>
      <c r="D49" s="2">
        <v>11</v>
      </c>
      <c r="E49" s="2">
        <v>5</v>
      </c>
      <c r="F49" s="5">
        <v>115000</v>
      </c>
      <c r="G49" s="6">
        <v>0.25</v>
      </c>
      <c r="H49" s="81">
        <f t="shared" si="0"/>
        <v>28750</v>
      </c>
      <c r="I49" s="82">
        <f t="shared" si="1"/>
        <v>143750</v>
      </c>
    </row>
    <row r="50" spans="1:9" ht="14.5" thickBot="1">
      <c r="A50" s="2" t="s">
        <v>63</v>
      </c>
      <c r="B50" s="2" t="s">
        <v>11</v>
      </c>
      <c r="C50" s="2" t="s">
        <v>12</v>
      </c>
      <c r="D50" s="2">
        <v>6</v>
      </c>
      <c r="E50" s="2">
        <v>4</v>
      </c>
      <c r="F50" s="5">
        <v>99000</v>
      </c>
      <c r="G50" s="6">
        <v>0.12</v>
      </c>
      <c r="H50" s="81">
        <f t="shared" si="0"/>
        <v>11880</v>
      </c>
      <c r="I50" s="82">
        <f t="shared" si="1"/>
        <v>110880</v>
      </c>
    </row>
    <row r="51" spans="1:9" ht="14.5" thickBot="1">
      <c r="A51" s="2" t="s">
        <v>64</v>
      </c>
      <c r="B51" s="2" t="s">
        <v>20</v>
      </c>
      <c r="C51" s="2" t="s">
        <v>12</v>
      </c>
      <c r="D51" s="2">
        <v>5</v>
      </c>
      <c r="E51" s="2">
        <v>3</v>
      </c>
      <c r="F51" s="5">
        <v>84000</v>
      </c>
      <c r="G51" s="6">
        <v>0.05</v>
      </c>
      <c r="H51" s="81">
        <f t="shared" si="0"/>
        <v>4200</v>
      </c>
      <c r="I51" s="82">
        <f t="shared" si="1"/>
        <v>88200</v>
      </c>
    </row>
    <row r="52" spans="1:9" ht="14.5" thickBot="1">
      <c r="A52" s="2" t="s">
        <v>65</v>
      </c>
      <c r="B52" s="2" t="s">
        <v>17</v>
      </c>
      <c r="C52" s="2" t="s">
        <v>9</v>
      </c>
      <c r="D52" s="2">
        <v>2</v>
      </c>
      <c r="E52" s="2">
        <v>2</v>
      </c>
      <c r="F52" s="5">
        <v>50000</v>
      </c>
      <c r="G52" s="6">
        <v>0</v>
      </c>
      <c r="H52" s="81">
        <f t="shared" si="0"/>
        <v>0</v>
      </c>
      <c r="I52" s="82">
        <f t="shared" si="1"/>
        <v>50000</v>
      </c>
    </row>
    <row r="53" spans="1:9" ht="14.5" thickBot="1">
      <c r="A53" s="2" t="s">
        <v>66</v>
      </c>
      <c r="B53" s="2" t="s">
        <v>11</v>
      </c>
      <c r="C53" s="2" t="s">
        <v>15</v>
      </c>
      <c r="D53" s="2">
        <v>13</v>
      </c>
      <c r="E53" s="2">
        <v>4</v>
      </c>
      <c r="F53" s="5">
        <v>150000</v>
      </c>
      <c r="G53" s="6">
        <v>0.16</v>
      </c>
      <c r="H53" s="81">
        <f t="shared" si="0"/>
        <v>24000</v>
      </c>
      <c r="I53" s="82">
        <f t="shared" si="1"/>
        <v>174000</v>
      </c>
    </row>
    <row r="54" spans="1:9" ht="14.5" thickBot="1">
      <c r="A54" s="2" t="s">
        <v>67</v>
      </c>
      <c r="B54" s="2" t="s">
        <v>8</v>
      </c>
      <c r="C54" s="2" t="s">
        <v>12</v>
      </c>
      <c r="D54" s="2">
        <v>7</v>
      </c>
      <c r="E54" s="2">
        <v>3</v>
      </c>
      <c r="F54" s="5">
        <v>83000</v>
      </c>
      <c r="G54" s="6">
        <v>0.06</v>
      </c>
      <c r="H54" s="81">
        <f t="shared" si="0"/>
        <v>4980</v>
      </c>
      <c r="I54" s="82">
        <f t="shared" si="1"/>
        <v>87980</v>
      </c>
    </row>
    <row r="55" spans="1:9" ht="14.5" thickBot="1">
      <c r="A55" s="2" t="s">
        <v>68</v>
      </c>
      <c r="B55" s="2" t="s">
        <v>14</v>
      </c>
      <c r="C55" s="2" t="s">
        <v>15</v>
      </c>
      <c r="D55" s="2">
        <v>8</v>
      </c>
      <c r="E55" s="2">
        <v>4</v>
      </c>
      <c r="F55" s="5">
        <v>102000</v>
      </c>
      <c r="G55" s="6">
        <v>0.12</v>
      </c>
      <c r="H55" s="81">
        <f t="shared" si="0"/>
        <v>12240</v>
      </c>
      <c r="I55" s="82">
        <f t="shared" si="1"/>
        <v>114240</v>
      </c>
    </row>
    <row r="56" spans="1:9" ht="14.5" thickBot="1">
      <c r="A56" s="2" t="s">
        <v>69</v>
      </c>
      <c r="B56" s="2" t="s">
        <v>20</v>
      </c>
      <c r="C56" s="2" t="s">
        <v>15</v>
      </c>
      <c r="D56" s="2">
        <v>9</v>
      </c>
      <c r="E56" s="2">
        <v>5</v>
      </c>
      <c r="F56" s="5">
        <v>122000</v>
      </c>
      <c r="G56" s="6">
        <v>0.2</v>
      </c>
      <c r="H56" s="81">
        <f t="shared" si="0"/>
        <v>24400</v>
      </c>
      <c r="I56" s="82">
        <f t="shared" si="1"/>
        <v>146400</v>
      </c>
    </row>
    <row r="57" spans="1:9" ht="14.5" thickBot="1">
      <c r="A57" s="2" t="s">
        <v>70</v>
      </c>
      <c r="B57" s="2" t="s">
        <v>11</v>
      </c>
      <c r="C57" s="2" t="s">
        <v>9</v>
      </c>
      <c r="D57" s="2">
        <v>1</v>
      </c>
      <c r="E57" s="2">
        <v>3</v>
      </c>
      <c r="F57" s="5">
        <v>72000</v>
      </c>
      <c r="G57" s="6">
        <v>0.04</v>
      </c>
      <c r="H57" s="81">
        <f t="shared" si="0"/>
        <v>2880</v>
      </c>
      <c r="I57" s="82">
        <f t="shared" si="1"/>
        <v>74880</v>
      </c>
    </row>
    <row r="58" spans="1:9" ht="14.5" thickBot="1">
      <c r="A58" s="2" t="s">
        <v>71</v>
      </c>
      <c r="B58" s="2" t="s">
        <v>17</v>
      </c>
      <c r="C58" s="2" t="s">
        <v>12</v>
      </c>
      <c r="D58" s="2">
        <v>6</v>
      </c>
      <c r="E58" s="2">
        <v>4</v>
      </c>
      <c r="F58" s="5">
        <v>75000</v>
      </c>
      <c r="G58" s="6">
        <v>0.1</v>
      </c>
      <c r="H58" s="81">
        <f t="shared" si="0"/>
        <v>7500</v>
      </c>
      <c r="I58" s="82">
        <f t="shared" si="1"/>
        <v>82500</v>
      </c>
    </row>
    <row r="59" spans="1:9" ht="14.5" thickBot="1">
      <c r="A59" s="2" t="s">
        <v>72</v>
      </c>
      <c r="B59" s="2" t="s">
        <v>8</v>
      </c>
      <c r="C59" s="2" t="s">
        <v>9</v>
      </c>
      <c r="D59" s="2">
        <v>1</v>
      </c>
      <c r="E59" s="2">
        <v>3</v>
      </c>
      <c r="F59" s="5">
        <v>54000</v>
      </c>
      <c r="G59" s="6">
        <v>0.05</v>
      </c>
      <c r="H59" s="81">
        <f t="shared" si="0"/>
        <v>2700</v>
      </c>
      <c r="I59" s="82">
        <f t="shared" si="1"/>
        <v>56700</v>
      </c>
    </row>
    <row r="60" spans="1:9" ht="14.5" thickBot="1">
      <c r="A60" s="2" t="s">
        <v>73</v>
      </c>
      <c r="B60" s="2" t="s">
        <v>14</v>
      </c>
      <c r="C60" s="2" t="s">
        <v>12</v>
      </c>
      <c r="D60" s="2">
        <v>4</v>
      </c>
      <c r="E60" s="2">
        <v>2</v>
      </c>
      <c r="F60" s="5">
        <v>68000</v>
      </c>
      <c r="G60" s="6">
        <v>0</v>
      </c>
      <c r="H60" s="81">
        <f t="shared" si="0"/>
        <v>0</v>
      </c>
      <c r="I60" s="82">
        <f t="shared" si="1"/>
        <v>68000</v>
      </c>
    </row>
    <row r="61" spans="1:9" ht="14.5" thickBot="1">
      <c r="A61" s="2" t="s">
        <v>74</v>
      </c>
      <c r="B61" s="2" t="s">
        <v>11</v>
      </c>
      <c r="C61" s="2" t="s">
        <v>15</v>
      </c>
      <c r="D61" s="2">
        <v>12</v>
      </c>
      <c r="E61" s="2">
        <v>5</v>
      </c>
      <c r="F61" s="5">
        <v>148000</v>
      </c>
      <c r="G61" s="6">
        <v>0.22</v>
      </c>
      <c r="H61" s="81">
        <f t="shared" si="0"/>
        <v>32560</v>
      </c>
      <c r="I61" s="82">
        <f t="shared" si="1"/>
        <v>180560</v>
      </c>
    </row>
    <row r="62" spans="1:9" ht="14.5" thickBot="1">
      <c r="A62" s="2" t="s">
        <v>75</v>
      </c>
      <c r="B62" s="2" t="s">
        <v>20</v>
      </c>
      <c r="C62" s="2" t="s">
        <v>9</v>
      </c>
      <c r="D62" s="2">
        <v>2</v>
      </c>
      <c r="E62" s="2">
        <v>4</v>
      </c>
      <c r="F62" s="5">
        <v>66000</v>
      </c>
      <c r="G62" s="6">
        <v>0.08</v>
      </c>
      <c r="H62" s="81">
        <f t="shared" si="0"/>
        <v>5280</v>
      </c>
      <c r="I62" s="82">
        <f t="shared" si="1"/>
        <v>71280</v>
      </c>
    </row>
    <row r="63" spans="1:9" ht="14.5" thickBot="1">
      <c r="A63" s="2" t="s">
        <v>76</v>
      </c>
      <c r="B63" s="2" t="s">
        <v>8</v>
      </c>
      <c r="C63" s="2" t="s">
        <v>15</v>
      </c>
      <c r="D63" s="2">
        <v>9</v>
      </c>
      <c r="E63" s="2">
        <v>3</v>
      </c>
      <c r="F63" s="5">
        <v>96000</v>
      </c>
      <c r="G63" s="6">
        <v>7.0000000000000007E-2</v>
      </c>
      <c r="H63" s="81">
        <f t="shared" si="0"/>
        <v>6720.0000000000009</v>
      </c>
      <c r="I63" s="82">
        <f t="shared" si="1"/>
        <v>102720</v>
      </c>
    </row>
    <row r="64" spans="1:9" ht="14.5" thickBot="1">
      <c r="A64" s="2" t="s">
        <v>77</v>
      </c>
      <c r="B64" s="2" t="s">
        <v>17</v>
      </c>
      <c r="C64" s="2" t="s">
        <v>15</v>
      </c>
      <c r="D64" s="2">
        <v>11</v>
      </c>
      <c r="E64" s="2">
        <v>4</v>
      </c>
      <c r="F64" s="5">
        <v>106000</v>
      </c>
      <c r="G64" s="6">
        <v>0.13</v>
      </c>
      <c r="H64" s="81">
        <f t="shared" si="0"/>
        <v>13780</v>
      </c>
      <c r="I64" s="82">
        <f t="shared" si="1"/>
        <v>119780</v>
      </c>
    </row>
    <row r="65" spans="1:9" ht="14.5" thickBot="1">
      <c r="A65" s="2" t="s">
        <v>78</v>
      </c>
      <c r="B65" s="2" t="s">
        <v>11</v>
      </c>
      <c r="C65" s="2" t="s">
        <v>12</v>
      </c>
      <c r="D65" s="2">
        <v>5</v>
      </c>
      <c r="E65" s="2">
        <v>3</v>
      </c>
      <c r="F65" s="5">
        <v>94000</v>
      </c>
      <c r="G65" s="6">
        <v>0.06</v>
      </c>
      <c r="H65" s="81">
        <f t="shared" si="0"/>
        <v>5640</v>
      </c>
      <c r="I65" s="82">
        <f t="shared" si="1"/>
        <v>99640</v>
      </c>
    </row>
    <row r="66" spans="1:9" ht="14.5" thickBot="1">
      <c r="A66" s="2" t="s">
        <v>79</v>
      </c>
      <c r="B66" s="2" t="s">
        <v>14</v>
      </c>
      <c r="C66" s="2" t="s">
        <v>15</v>
      </c>
      <c r="D66" s="2">
        <v>10</v>
      </c>
      <c r="E66" s="2">
        <v>4</v>
      </c>
      <c r="F66" s="5">
        <v>112000</v>
      </c>
      <c r="G66" s="6">
        <v>0.14000000000000001</v>
      </c>
      <c r="H66" s="81">
        <f t="shared" si="0"/>
        <v>15680.000000000002</v>
      </c>
      <c r="I66" s="82">
        <f t="shared" si="1"/>
        <v>127680</v>
      </c>
    </row>
    <row r="67" spans="1:9" ht="14.5" thickBot="1">
      <c r="A67" s="2" t="s">
        <v>80</v>
      </c>
      <c r="B67" s="2" t="s">
        <v>20</v>
      </c>
      <c r="C67" s="2" t="s">
        <v>12</v>
      </c>
      <c r="D67" s="2">
        <v>7</v>
      </c>
      <c r="E67" s="2">
        <v>4</v>
      </c>
      <c r="F67" s="5">
        <v>90000</v>
      </c>
      <c r="G67" s="6">
        <v>0.11</v>
      </c>
      <c r="H67" s="81">
        <f t="shared" ref="H67:H101" si="2">G67*F67</f>
        <v>9900</v>
      </c>
      <c r="I67" s="82">
        <f t="shared" ref="I67:I101" si="3">SUM(F67,H67)</f>
        <v>99900</v>
      </c>
    </row>
    <row r="68" spans="1:9" ht="14.5" thickBot="1">
      <c r="A68" s="2" t="s">
        <v>81</v>
      </c>
      <c r="B68" s="2" t="s">
        <v>8</v>
      </c>
      <c r="C68" s="2" t="s">
        <v>9</v>
      </c>
      <c r="D68" s="2">
        <v>3</v>
      </c>
      <c r="E68" s="2">
        <v>5</v>
      </c>
      <c r="F68" s="5">
        <v>68000</v>
      </c>
      <c r="G68" s="6">
        <v>0.18</v>
      </c>
      <c r="H68" s="81">
        <f t="shared" si="2"/>
        <v>12240</v>
      </c>
      <c r="I68" s="82">
        <f t="shared" si="3"/>
        <v>80240</v>
      </c>
    </row>
    <row r="69" spans="1:9" ht="14.5" thickBot="1">
      <c r="A69" s="2" t="s">
        <v>82</v>
      </c>
      <c r="B69" s="2" t="s">
        <v>11</v>
      </c>
      <c r="C69" s="2" t="s">
        <v>9</v>
      </c>
      <c r="D69" s="2">
        <v>2</v>
      </c>
      <c r="E69" s="2">
        <v>2</v>
      </c>
      <c r="F69" s="5">
        <v>74000</v>
      </c>
      <c r="G69" s="6">
        <v>0</v>
      </c>
      <c r="H69" s="81">
        <f t="shared" si="2"/>
        <v>0</v>
      </c>
      <c r="I69" s="82">
        <f t="shared" si="3"/>
        <v>74000</v>
      </c>
    </row>
    <row r="70" spans="1:9" ht="14.5" thickBot="1">
      <c r="A70" s="2" t="s">
        <v>83</v>
      </c>
      <c r="B70" s="2" t="s">
        <v>17</v>
      </c>
      <c r="C70" s="2" t="s">
        <v>9</v>
      </c>
      <c r="D70" s="2">
        <v>1</v>
      </c>
      <c r="E70" s="2">
        <v>3</v>
      </c>
      <c r="F70" s="5">
        <v>49000</v>
      </c>
      <c r="G70" s="6">
        <v>0.04</v>
      </c>
      <c r="H70" s="81">
        <f t="shared" si="2"/>
        <v>1960</v>
      </c>
      <c r="I70" s="82">
        <f t="shared" si="3"/>
        <v>50960</v>
      </c>
    </row>
    <row r="71" spans="1:9" ht="14.5" thickBot="1">
      <c r="A71" s="2" t="s">
        <v>84</v>
      </c>
      <c r="B71" s="2" t="s">
        <v>14</v>
      </c>
      <c r="C71" s="2" t="s">
        <v>12</v>
      </c>
      <c r="D71" s="2">
        <v>5</v>
      </c>
      <c r="E71" s="2">
        <v>4</v>
      </c>
      <c r="F71" s="5">
        <v>80000</v>
      </c>
      <c r="G71" s="6">
        <v>0.1</v>
      </c>
      <c r="H71" s="81">
        <f t="shared" si="2"/>
        <v>8000</v>
      </c>
      <c r="I71" s="82">
        <f t="shared" si="3"/>
        <v>88000</v>
      </c>
    </row>
    <row r="72" spans="1:9" ht="14.5" thickBot="1">
      <c r="A72" s="2" t="s">
        <v>85</v>
      </c>
      <c r="B72" s="2" t="s">
        <v>11</v>
      </c>
      <c r="C72" s="2" t="s">
        <v>15</v>
      </c>
      <c r="D72" s="2">
        <v>9</v>
      </c>
      <c r="E72" s="2">
        <v>4</v>
      </c>
      <c r="F72" s="5">
        <v>136000</v>
      </c>
      <c r="G72" s="6">
        <v>0.14000000000000001</v>
      </c>
      <c r="H72" s="81">
        <f t="shared" si="2"/>
        <v>19040</v>
      </c>
      <c r="I72" s="82">
        <f t="shared" si="3"/>
        <v>155040</v>
      </c>
    </row>
    <row r="73" spans="1:9" ht="14.5" thickBot="1">
      <c r="A73" s="2" t="s">
        <v>86</v>
      </c>
      <c r="B73" s="2" t="s">
        <v>20</v>
      </c>
      <c r="C73" s="2" t="s">
        <v>15</v>
      </c>
      <c r="D73" s="2">
        <v>14</v>
      </c>
      <c r="E73" s="2">
        <v>3</v>
      </c>
      <c r="F73" s="5">
        <v>128000</v>
      </c>
      <c r="G73" s="6">
        <v>0.08</v>
      </c>
      <c r="H73" s="81">
        <f t="shared" si="2"/>
        <v>10240</v>
      </c>
      <c r="I73" s="82">
        <f t="shared" si="3"/>
        <v>138240</v>
      </c>
    </row>
    <row r="74" spans="1:9" ht="14.5" thickBot="1">
      <c r="A74" s="2" t="s">
        <v>87</v>
      </c>
      <c r="B74" s="2" t="s">
        <v>8</v>
      </c>
      <c r="C74" s="2" t="s">
        <v>12</v>
      </c>
      <c r="D74" s="2">
        <v>6</v>
      </c>
      <c r="E74" s="2">
        <v>5</v>
      </c>
      <c r="F74" s="5">
        <v>88000</v>
      </c>
      <c r="G74" s="6">
        <v>0.2</v>
      </c>
      <c r="H74" s="81">
        <f t="shared" si="2"/>
        <v>17600</v>
      </c>
      <c r="I74" s="82">
        <f t="shared" si="3"/>
        <v>105600</v>
      </c>
    </row>
    <row r="75" spans="1:9" ht="14.5" thickBot="1">
      <c r="A75" s="2" t="s">
        <v>88</v>
      </c>
      <c r="B75" s="2" t="s">
        <v>17</v>
      </c>
      <c r="C75" s="2" t="s">
        <v>12</v>
      </c>
      <c r="D75" s="2">
        <v>4</v>
      </c>
      <c r="E75" s="2">
        <v>2</v>
      </c>
      <c r="F75" s="5">
        <v>66000</v>
      </c>
      <c r="G75" s="6">
        <v>0</v>
      </c>
      <c r="H75" s="81">
        <f t="shared" si="2"/>
        <v>0</v>
      </c>
      <c r="I75" s="82">
        <f t="shared" si="3"/>
        <v>66000</v>
      </c>
    </row>
    <row r="76" spans="1:9" ht="14.5" thickBot="1">
      <c r="A76" s="2" t="s">
        <v>89</v>
      </c>
      <c r="B76" s="2" t="s">
        <v>14</v>
      </c>
      <c r="C76" s="2" t="s">
        <v>9</v>
      </c>
      <c r="D76" s="2">
        <v>3</v>
      </c>
      <c r="E76" s="2">
        <v>3</v>
      </c>
      <c r="F76" s="5">
        <v>62000</v>
      </c>
      <c r="G76" s="6">
        <v>0.05</v>
      </c>
      <c r="H76" s="81">
        <f t="shared" si="2"/>
        <v>3100</v>
      </c>
      <c r="I76" s="82">
        <f t="shared" si="3"/>
        <v>65100</v>
      </c>
    </row>
    <row r="77" spans="1:9" ht="14.5" thickBot="1">
      <c r="A77" s="2" t="s">
        <v>90</v>
      </c>
      <c r="B77" s="2" t="s">
        <v>11</v>
      </c>
      <c r="C77" s="2" t="s">
        <v>12</v>
      </c>
      <c r="D77" s="2">
        <v>7</v>
      </c>
      <c r="E77" s="2">
        <v>5</v>
      </c>
      <c r="F77" s="5">
        <v>105000</v>
      </c>
      <c r="G77" s="6">
        <v>0.18</v>
      </c>
      <c r="H77" s="81">
        <f t="shared" si="2"/>
        <v>18900</v>
      </c>
      <c r="I77" s="82">
        <f t="shared" si="3"/>
        <v>123900</v>
      </c>
    </row>
    <row r="78" spans="1:9" ht="14.5" thickBot="1">
      <c r="A78" s="2" t="s">
        <v>91</v>
      </c>
      <c r="B78" s="2" t="s">
        <v>20</v>
      </c>
      <c r="C78" s="2" t="s">
        <v>9</v>
      </c>
      <c r="D78" s="2">
        <v>2</v>
      </c>
      <c r="E78" s="2">
        <v>4</v>
      </c>
      <c r="F78" s="5">
        <v>64000</v>
      </c>
      <c r="G78" s="6">
        <v>0.09</v>
      </c>
      <c r="H78" s="81">
        <f t="shared" si="2"/>
        <v>5760</v>
      </c>
      <c r="I78" s="82">
        <f t="shared" si="3"/>
        <v>69760</v>
      </c>
    </row>
    <row r="79" spans="1:9" ht="14.5" thickBot="1">
      <c r="A79" s="2" t="s">
        <v>92</v>
      </c>
      <c r="B79" s="2" t="s">
        <v>8</v>
      </c>
      <c r="C79" s="2" t="s">
        <v>15</v>
      </c>
      <c r="D79" s="2">
        <v>12</v>
      </c>
      <c r="E79" s="2">
        <v>4</v>
      </c>
      <c r="F79" s="5">
        <v>112000</v>
      </c>
      <c r="G79" s="6">
        <v>0.15</v>
      </c>
      <c r="H79" s="81">
        <f t="shared" si="2"/>
        <v>16800</v>
      </c>
      <c r="I79" s="82">
        <f t="shared" si="3"/>
        <v>128800</v>
      </c>
    </row>
    <row r="80" spans="1:9" ht="14.5" thickBot="1">
      <c r="A80" s="2" t="s">
        <v>93</v>
      </c>
      <c r="B80" s="2" t="s">
        <v>17</v>
      </c>
      <c r="C80" s="2" t="s">
        <v>15</v>
      </c>
      <c r="D80" s="2">
        <v>8</v>
      </c>
      <c r="E80" s="2">
        <v>5</v>
      </c>
      <c r="F80" s="5">
        <v>102000</v>
      </c>
      <c r="G80" s="6">
        <v>0.18</v>
      </c>
      <c r="H80" s="81">
        <f t="shared" si="2"/>
        <v>18360</v>
      </c>
      <c r="I80" s="82">
        <f t="shared" si="3"/>
        <v>120360</v>
      </c>
    </row>
    <row r="81" spans="1:9" ht="14.5" thickBot="1">
      <c r="A81" s="2" t="s">
        <v>94</v>
      </c>
      <c r="B81" s="2" t="s">
        <v>11</v>
      </c>
      <c r="C81" s="2" t="s">
        <v>9</v>
      </c>
      <c r="D81" s="2">
        <v>3</v>
      </c>
      <c r="E81" s="2">
        <v>3</v>
      </c>
      <c r="F81" s="5">
        <v>80000</v>
      </c>
      <c r="G81" s="6">
        <v>0.06</v>
      </c>
      <c r="H81" s="81">
        <f t="shared" si="2"/>
        <v>4800</v>
      </c>
      <c r="I81" s="82">
        <f t="shared" si="3"/>
        <v>84800</v>
      </c>
    </row>
    <row r="82" spans="1:9" ht="14.5" thickBot="1">
      <c r="A82" s="2" t="s">
        <v>95</v>
      </c>
      <c r="B82" s="2" t="s">
        <v>14</v>
      </c>
      <c r="C82" s="2" t="s">
        <v>15</v>
      </c>
      <c r="D82" s="2">
        <v>11</v>
      </c>
      <c r="E82" s="2">
        <v>3</v>
      </c>
      <c r="F82" s="5">
        <v>105000</v>
      </c>
      <c r="G82" s="6">
        <v>7.0000000000000007E-2</v>
      </c>
      <c r="H82" s="81">
        <f t="shared" si="2"/>
        <v>7350.0000000000009</v>
      </c>
      <c r="I82" s="82">
        <f t="shared" si="3"/>
        <v>112350</v>
      </c>
    </row>
    <row r="83" spans="1:9" ht="14.5" thickBot="1">
      <c r="A83" s="2" t="s">
        <v>96</v>
      </c>
      <c r="B83" s="2" t="s">
        <v>20</v>
      </c>
      <c r="C83" s="2" t="s">
        <v>12</v>
      </c>
      <c r="D83" s="2">
        <v>6</v>
      </c>
      <c r="E83" s="2">
        <v>4</v>
      </c>
      <c r="F83" s="5">
        <v>88000</v>
      </c>
      <c r="G83" s="6">
        <v>0.12</v>
      </c>
      <c r="H83" s="81">
        <f t="shared" si="2"/>
        <v>10560</v>
      </c>
      <c r="I83" s="82">
        <f t="shared" si="3"/>
        <v>98560</v>
      </c>
    </row>
    <row r="84" spans="1:9" ht="14.5" thickBot="1">
      <c r="A84" s="2" t="s">
        <v>97</v>
      </c>
      <c r="B84" s="2" t="s">
        <v>8</v>
      </c>
      <c r="C84" s="2" t="s">
        <v>9</v>
      </c>
      <c r="D84" s="2">
        <v>2</v>
      </c>
      <c r="E84" s="2">
        <v>3</v>
      </c>
      <c r="F84" s="5">
        <v>56000</v>
      </c>
      <c r="G84" s="6">
        <v>0.05</v>
      </c>
      <c r="H84" s="81">
        <f t="shared" si="2"/>
        <v>2800</v>
      </c>
      <c r="I84" s="82">
        <f t="shared" si="3"/>
        <v>58800</v>
      </c>
    </row>
    <row r="85" spans="1:9" ht="14.5" thickBot="1">
      <c r="A85" s="2" t="s">
        <v>98</v>
      </c>
      <c r="B85" s="2" t="s">
        <v>11</v>
      </c>
      <c r="C85" s="2" t="s">
        <v>15</v>
      </c>
      <c r="D85" s="2">
        <v>10</v>
      </c>
      <c r="E85" s="2">
        <v>2</v>
      </c>
      <c r="F85" s="5">
        <v>125000</v>
      </c>
      <c r="G85" s="6">
        <v>0</v>
      </c>
      <c r="H85" s="81">
        <f t="shared" si="2"/>
        <v>0</v>
      </c>
      <c r="I85" s="82">
        <f t="shared" si="3"/>
        <v>125000</v>
      </c>
    </row>
    <row r="86" spans="1:9" ht="14.5" thickBot="1">
      <c r="A86" s="2" t="s">
        <v>99</v>
      </c>
      <c r="B86" s="2" t="s">
        <v>17</v>
      </c>
      <c r="C86" s="2" t="s">
        <v>9</v>
      </c>
      <c r="D86" s="2">
        <v>2</v>
      </c>
      <c r="E86" s="2">
        <v>4</v>
      </c>
      <c r="F86" s="5">
        <v>56000</v>
      </c>
      <c r="G86" s="6">
        <v>0.08</v>
      </c>
      <c r="H86" s="81">
        <f t="shared" si="2"/>
        <v>4480</v>
      </c>
      <c r="I86" s="82">
        <f t="shared" si="3"/>
        <v>60480</v>
      </c>
    </row>
    <row r="87" spans="1:9" ht="14.5" thickBot="1">
      <c r="A87" s="2" t="s">
        <v>100</v>
      </c>
      <c r="B87" s="2" t="s">
        <v>14</v>
      </c>
      <c r="C87" s="2" t="s">
        <v>12</v>
      </c>
      <c r="D87" s="2">
        <v>4</v>
      </c>
      <c r="E87" s="2">
        <v>5</v>
      </c>
      <c r="F87" s="5">
        <v>85000</v>
      </c>
      <c r="G87" s="6">
        <v>0.18</v>
      </c>
      <c r="H87" s="81">
        <f t="shared" si="2"/>
        <v>15300</v>
      </c>
      <c r="I87" s="82">
        <f t="shared" si="3"/>
        <v>100300</v>
      </c>
    </row>
    <row r="88" spans="1:9" ht="14.5" thickBot="1">
      <c r="A88" s="2" t="s">
        <v>101</v>
      </c>
      <c r="B88" s="2" t="s">
        <v>11</v>
      </c>
      <c r="C88" s="2" t="s">
        <v>12</v>
      </c>
      <c r="D88" s="2">
        <v>5</v>
      </c>
      <c r="E88" s="2">
        <v>4</v>
      </c>
      <c r="F88" s="5">
        <v>97000</v>
      </c>
      <c r="G88" s="6">
        <v>0.13</v>
      </c>
      <c r="H88" s="81">
        <f t="shared" si="2"/>
        <v>12610</v>
      </c>
      <c r="I88" s="82">
        <f t="shared" si="3"/>
        <v>109610</v>
      </c>
    </row>
    <row r="89" spans="1:9" ht="14.5" thickBot="1">
      <c r="A89" s="2" t="s">
        <v>102</v>
      </c>
      <c r="B89" s="2" t="s">
        <v>20</v>
      </c>
      <c r="C89" s="2" t="s">
        <v>15</v>
      </c>
      <c r="D89" s="2">
        <v>10</v>
      </c>
      <c r="E89" s="2">
        <v>4</v>
      </c>
      <c r="F89" s="5">
        <v>118000</v>
      </c>
      <c r="G89" s="6">
        <v>0.14000000000000001</v>
      </c>
      <c r="H89" s="81">
        <f t="shared" si="2"/>
        <v>16520</v>
      </c>
      <c r="I89" s="82">
        <f t="shared" si="3"/>
        <v>134520</v>
      </c>
    </row>
    <row r="90" spans="1:9" ht="14.5" thickBot="1">
      <c r="A90" s="2" t="s">
        <v>103</v>
      </c>
      <c r="B90" s="2" t="s">
        <v>8</v>
      </c>
      <c r="C90" s="2" t="s">
        <v>12</v>
      </c>
      <c r="D90" s="2">
        <v>5</v>
      </c>
      <c r="E90" s="2">
        <v>3</v>
      </c>
      <c r="F90" s="5">
        <v>75000</v>
      </c>
      <c r="G90" s="6">
        <v>0.06</v>
      </c>
      <c r="H90" s="81">
        <f t="shared" si="2"/>
        <v>4500</v>
      </c>
      <c r="I90" s="82">
        <f t="shared" si="3"/>
        <v>79500</v>
      </c>
    </row>
    <row r="91" spans="1:9" ht="14.5" thickBot="1">
      <c r="A91" s="2" t="s">
        <v>104</v>
      </c>
      <c r="B91" s="2" t="s">
        <v>17</v>
      </c>
      <c r="C91" s="2" t="s">
        <v>15</v>
      </c>
      <c r="D91" s="2">
        <v>13</v>
      </c>
      <c r="E91" s="2">
        <v>3</v>
      </c>
      <c r="F91" s="5">
        <v>110000</v>
      </c>
      <c r="G91" s="6">
        <v>7.0000000000000007E-2</v>
      </c>
      <c r="H91" s="81">
        <f t="shared" si="2"/>
        <v>7700.0000000000009</v>
      </c>
      <c r="I91" s="82">
        <f t="shared" si="3"/>
        <v>117700</v>
      </c>
    </row>
    <row r="92" spans="1:9" ht="14.5" thickBot="1">
      <c r="A92" s="2" t="s">
        <v>105</v>
      </c>
      <c r="B92" s="2" t="s">
        <v>11</v>
      </c>
      <c r="C92" s="2" t="s">
        <v>9</v>
      </c>
      <c r="D92" s="2">
        <v>1</v>
      </c>
      <c r="E92" s="2">
        <v>4</v>
      </c>
      <c r="F92" s="5">
        <v>75000</v>
      </c>
      <c r="G92" s="6">
        <v>0.1</v>
      </c>
      <c r="H92" s="81">
        <f t="shared" si="2"/>
        <v>7500</v>
      </c>
      <c r="I92" s="82">
        <f t="shared" si="3"/>
        <v>82500</v>
      </c>
    </row>
    <row r="93" spans="1:9" ht="14.5" thickBot="1">
      <c r="A93" s="2" t="s">
        <v>106</v>
      </c>
      <c r="B93" s="2" t="s">
        <v>14</v>
      </c>
      <c r="C93" s="2" t="s">
        <v>15</v>
      </c>
      <c r="D93" s="2">
        <v>9</v>
      </c>
      <c r="E93" s="2">
        <v>4</v>
      </c>
      <c r="F93" s="5">
        <v>108000</v>
      </c>
      <c r="G93" s="6">
        <v>0.12</v>
      </c>
      <c r="H93" s="81">
        <f t="shared" si="2"/>
        <v>12960</v>
      </c>
      <c r="I93" s="82">
        <f t="shared" si="3"/>
        <v>120960</v>
      </c>
    </row>
    <row r="94" spans="1:9" ht="14.5" thickBot="1">
      <c r="A94" s="2" t="s">
        <v>107</v>
      </c>
      <c r="B94" s="2" t="s">
        <v>20</v>
      </c>
      <c r="C94" s="2" t="s">
        <v>12</v>
      </c>
      <c r="D94" s="2">
        <v>5</v>
      </c>
      <c r="E94" s="2">
        <v>5</v>
      </c>
      <c r="F94" s="5">
        <v>94000</v>
      </c>
      <c r="G94" s="6">
        <v>0.2</v>
      </c>
      <c r="H94" s="81">
        <f t="shared" si="2"/>
        <v>18800</v>
      </c>
      <c r="I94" s="82">
        <f t="shared" si="3"/>
        <v>112800</v>
      </c>
    </row>
    <row r="95" spans="1:9" ht="14.5" thickBot="1">
      <c r="A95" s="2" t="s">
        <v>108</v>
      </c>
      <c r="B95" s="2" t="s">
        <v>8</v>
      </c>
      <c r="C95" s="2" t="s">
        <v>15</v>
      </c>
      <c r="D95" s="2">
        <v>8</v>
      </c>
      <c r="E95" s="2">
        <v>2</v>
      </c>
      <c r="F95" s="5">
        <v>90000</v>
      </c>
      <c r="G95" s="6">
        <v>0</v>
      </c>
      <c r="H95" s="81">
        <f t="shared" si="2"/>
        <v>0</v>
      </c>
      <c r="I95" s="82">
        <f t="shared" si="3"/>
        <v>90000</v>
      </c>
    </row>
    <row r="96" spans="1:9" ht="14.5" thickBot="1">
      <c r="A96" s="2" t="s">
        <v>109</v>
      </c>
      <c r="B96" s="2" t="s">
        <v>17</v>
      </c>
      <c r="C96" s="2" t="s">
        <v>12</v>
      </c>
      <c r="D96" s="2">
        <v>7</v>
      </c>
      <c r="E96" s="2">
        <v>3</v>
      </c>
      <c r="F96" s="5">
        <v>78000</v>
      </c>
      <c r="G96" s="6">
        <v>0.05</v>
      </c>
      <c r="H96" s="81">
        <f t="shared" si="2"/>
        <v>3900</v>
      </c>
      <c r="I96" s="82">
        <f t="shared" si="3"/>
        <v>81900</v>
      </c>
    </row>
    <row r="97" spans="1:9" ht="14.5" thickBot="1">
      <c r="A97" s="2" t="s">
        <v>110</v>
      </c>
      <c r="B97" s="2" t="s">
        <v>11</v>
      </c>
      <c r="C97" s="2" t="s">
        <v>15</v>
      </c>
      <c r="D97" s="2">
        <v>14</v>
      </c>
      <c r="E97" s="2">
        <v>5</v>
      </c>
      <c r="F97" s="5">
        <v>155000</v>
      </c>
      <c r="G97" s="6">
        <v>0.25</v>
      </c>
      <c r="H97" s="81">
        <f t="shared" si="2"/>
        <v>38750</v>
      </c>
      <c r="I97" s="82">
        <f t="shared" si="3"/>
        <v>193750</v>
      </c>
    </row>
    <row r="98" spans="1:9" ht="14.5" thickBot="1">
      <c r="A98" s="2" t="s">
        <v>111</v>
      </c>
      <c r="B98" s="2" t="s">
        <v>14</v>
      </c>
      <c r="C98" s="2" t="s">
        <v>9</v>
      </c>
      <c r="D98" s="2">
        <v>2</v>
      </c>
      <c r="E98" s="2">
        <v>3</v>
      </c>
      <c r="F98" s="5">
        <v>59000</v>
      </c>
      <c r="G98" s="6">
        <v>0.04</v>
      </c>
      <c r="H98" s="81">
        <f t="shared" si="2"/>
        <v>2360</v>
      </c>
      <c r="I98" s="82">
        <f t="shared" si="3"/>
        <v>61360</v>
      </c>
    </row>
    <row r="99" spans="1:9" ht="14.5" thickBot="1">
      <c r="A99" s="2" t="s">
        <v>112</v>
      </c>
      <c r="B99" s="2" t="s">
        <v>20</v>
      </c>
      <c r="C99" s="2" t="s">
        <v>9</v>
      </c>
      <c r="D99" s="2">
        <v>1</v>
      </c>
      <c r="E99" s="2">
        <v>2</v>
      </c>
      <c r="F99" s="5">
        <v>55000</v>
      </c>
      <c r="G99" s="6">
        <v>0</v>
      </c>
      <c r="H99" s="81">
        <f t="shared" si="2"/>
        <v>0</v>
      </c>
      <c r="I99" s="82">
        <f t="shared" si="3"/>
        <v>55000</v>
      </c>
    </row>
    <row r="100" spans="1:9" ht="14.5" thickBot="1">
      <c r="A100" s="2" t="s">
        <v>113</v>
      </c>
      <c r="B100" s="2" t="s">
        <v>8</v>
      </c>
      <c r="C100" s="2" t="s">
        <v>12</v>
      </c>
      <c r="D100" s="2">
        <v>6</v>
      </c>
      <c r="E100" s="2">
        <v>4</v>
      </c>
      <c r="F100" s="5">
        <v>84000</v>
      </c>
      <c r="G100" s="6">
        <v>0.11</v>
      </c>
      <c r="H100" s="81">
        <f t="shared" si="2"/>
        <v>9240</v>
      </c>
      <c r="I100" s="82">
        <f t="shared" si="3"/>
        <v>93240</v>
      </c>
    </row>
    <row r="101" spans="1:9" ht="14.5" thickBot="1">
      <c r="A101" s="2" t="s">
        <v>114</v>
      </c>
      <c r="B101" s="2" t="s">
        <v>11</v>
      </c>
      <c r="C101" s="2" t="s">
        <v>12</v>
      </c>
      <c r="D101" s="2">
        <v>4</v>
      </c>
      <c r="E101" s="2">
        <v>5</v>
      </c>
      <c r="F101" s="5">
        <v>102000</v>
      </c>
      <c r="G101" s="7">
        <v>0.2</v>
      </c>
      <c r="H101" s="81">
        <f t="shared" si="2"/>
        <v>20400</v>
      </c>
      <c r="I101" s="82">
        <f t="shared" si="3"/>
        <v>122400</v>
      </c>
    </row>
    <row r="103" spans="1:9" ht="14.5" thickBot="1"/>
    <row r="104" spans="1:9" ht="31.5" customHeight="1" thickBot="1">
      <c r="D104" s="71" t="s">
        <v>144</v>
      </c>
    </row>
  </sheetData>
  <conditionalFormatting sqref="A1:I101">
    <cfRule type="cellIs" dxfId="87" priority="8" operator="equal">
      <formula>10</formula>
    </cfRule>
    <cfRule type="cellIs" dxfId="86" priority="9" operator="equal">
      <formula>0</formula>
    </cfRule>
  </conditionalFormatting>
  <conditionalFormatting sqref="C1:C101">
    <cfRule type="dataBar" priority="4">
      <dataBar>
        <cfvo type="min"/>
        <cfvo type="max"/>
        <color rgb="FF638EC6"/>
      </dataBar>
      <extLst>
        <ext xmlns:x14="http://schemas.microsoft.com/office/spreadsheetml/2009/9/main" uri="{B025F937-C7B1-47D3-B67F-A62EFF666E3E}">
          <x14:id>{FF1B5BF1-0AEC-40F3-B311-15C1365BCF3C}</x14:id>
        </ext>
      </extLst>
    </cfRule>
  </conditionalFormatting>
  <conditionalFormatting sqref="C2:C101">
    <cfRule type="containsText" dxfId="85" priority="1" operator="containsText" text="mid">
      <formula>NOT(ISERROR(SEARCH("mid",C2)))</formula>
    </cfRule>
    <cfRule type="cellIs" dxfId="84" priority="2" operator="equal">
      <formula>"junior"</formula>
    </cfRule>
    <cfRule type="cellIs" dxfId="83" priority="3" operator="equal">
      <formula>"Senior"</formula>
    </cfRule>
  </conditionalFormatting>
  <conditionalFormatting sqref="G1:G101">
    <cfRule type="cellIs" dxfId="82" priority="6" operator="equal">
      <formula>10</formula>
    </cfRule>
  </conditionalFormatting>
  <conditionalFormatting sqref="G1:G1048576">
    <cfRule type="cellIs" dxfId="81" priority="7" operator="equal">
      <formula>0.13</formula>
    </cfRule>
  </conditionalFormatting>
  <dataValidations count="1">
    <dataValidation type="date" allowBlank="1" showInputMessage="1" showErrorMessage="1" sqref="A1:I101" xr:uid="{9FD5868A-8BD7-48AF-8EF2-E15ABB5D7D0E}">
      <formula1>A2</formula1>
      <formula2>I2</formula2>
    </dataValidation>
  </dataValidations>
  <hyperlinks>
    <hyperlink ref="D104" location="'Pivot Table'!A1" display="Pivot Tabel" xr:uid="{3B9D6F8B-E9E6-4AC9-A44F-71A6E5D2363F}"/>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Bonassalary">
                <anchor moveWithCells="1" sizeWithCells="1">
                  <from>
                    <xdr:col>9</xdr:col>
                    <xdr:colOff>527050</xdr:colOff>
                    <xdr:row>6</xdr:row>
                    <xdr:rowOff>127000</xdr:rowOff>
                  </from>
                  <to>
                    <xdr:col>11</xdr:col>
                    <xdr:colOff>133350</xdr:colOff>
                    <xdr:row>7</xdr:row>
                    <xdr:rowOff>184150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F1B5BF1-0AEC-40F3-B311-15C1365BCF3C}">
            <x14:dataBar minLength="0" maxLength="100" border="1" negativeBarBorderColorSameAsPositive="0">
              <x14:cfvo type="autoMin"/>
              <x14:cfvo type="autoMax"/>
              <x14:borderColor rgb="FF638EC6"/>
              <x14:negativeFillColor rgb="FFFF0000"/>
              <x14:negativeBorderColor rgb="FFFF0000"/>
              <x14:axisColor rgb="FF000000"/>
            </x14:dataBar>
          </x14:cfRule>
          <xm:sqref>C1:C101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507FA-62AF-45B7-8938-96E660405F19}">
  <sheetPr codeName="Sheet4"/>
  <dimension ref="A1:E46"/>
  <sheetViews>
    <sheetView zoomScale="90" zoomScaleNormal="90" workbookViewId="0"/>
  </sheetViews>
  <sheetFormatPr defaultRowHeight="14"/>
  <cols>
    <col min="1" max="1" width="13.4140625" bestFit="1" customWidth="1"/>
    <col min="2" max="2" width="16" customWidth="1"/>
    <col min="3" max="3" width="26" customWidth="1"/>
    <col min="4" max="4" width="25.1640625" customWidth="1"/>
    <col min="5" max="5" width="26.1640625" customWidth="1"/>
    <col min="6" max="6" width="7" bestFit="1" customWidth="1"/>
    <col min="7" max="7" width="15" bestFit="1" customWidth="1"/>
    <col min="8" max="8" width="30.83203125" bestFit="1" customWidth="1"/>
    <col min="9" max="9" width="18.58203125" bestFit="1" customWidth="1"/>
    <col min="10" max="10" width="20.4140625" bestFit="1" customWidth="1"/>
    <col min="11" max="11" width="9.83203125" bestFit="1" customWidth="1"/>
    <col min="12" max="12" width="8" bestFit="1" customWidth="1"/>
    <col min="13" max="13" width="18.58203125" bestFit="1" customWidth="1"/>
    <col min="14" max="14" width="8" bestFit="1" customWidth="1"/>
    <col min="15" max="15" width="4" bestFit="1" customWidth="1"/>
    <col min="16" max="16" width="9.83203125" bestFit="1" customWidth="1"/>
    <col min="17" max="17" width="5.83203125" bestFit="1" customWidth="1"/>
    <col min="18" max="18" width="35.83203125" bestFit="1" customWidth="1"/>
    <col min="19" max="19" width="23.58203125" bestFit="1" customWidth="1"/>
    <col min="20" max="20" width="3" bestFit="1" customWidth="1"/>
    <col min="21" max="24" width="2" bestFit="1" customWidth="1"/>
    <col min="25" max="29" width="3" bestFit="1" customWidth="1"/>
    <col min="30" max="30" width="30.4140625" bestFit="1" customWidth="1"/>
    <col min="31" max="31" width="26.58203125" bestFit="1" customWidth="1"/>
    <col min="32" max="101" width="9.75" bestFit="1" customWidth="1"/>
    <col min="102" max="102" width="11.25" bestFit="1" customWidth="1"/>
    <col min="103" max="103" width="19.75" bestFit="1" customWidth="1"/>
    <col min="104" max="104" width="25.25" bestFit="1" customWidth="1"/>
    <col min="105" max="105" width="19.75" bestFit="1" customWidth="1"/>
    <col min="106" max="106" width="25.25" bestFit="1" customWidth="1"/>
    <col min="107" max="107" width="19.75" bestFit="1" customWidth="1"/>
    <col min="108" max="108" width="25.25" bestFit="1" customWidth="1"/>
    <col min="109" max="109" width="19.75" bestFit="1" customWidth="1"/>
    <col min="110" max="110" width="25.25" bestFit="1" customWidth="1"/>
    <col min="111" max="111" width="19.75" bestFit="1" customWidth="1"/>
    <col min="112" max="112" width="25.25" bestFit="1" customWidth="1"/>
    <col min="113" max="113" width="19.75" bestFit="1" customWidth="1"/>
    <col min="114" max="114" width="25.25" bestFit="1" customWidth="1"/>
    <col min="115" max="115" width="19.75" bestFit="1" customWidth="1"/>
    <col min="116" max="116" width="25.25" bestFit="1" customWidth="1"/>
    <col min="117" max="117" width="19.75" bestFit="1" customWidth="1"/>
    <col min="118" max="118" width="25.25" bestFit="1" customWidth="1"/>
    <col min="119" max="119" width="19.75" bestFit="1" customWidth="1"/>
    <col min="120" max="120" width="25.25" bestFit="1" customWidth="1"/>
    <col min="121" max="121" width="19.75" bestFit="1" customWidth="1"/>
    <col min="122" max="122" width="25.25" bestFit="1" customWidth="1"/>
    <col min="123" max="123" width="19.75" bestFit="1" customWidth="1"/>
    <col min="124" max="124" width="25.25" bestFit="1" customWidth="1"/>
    <col min="125" max="125" width="19.75" bestFit="1" customWidth="1"/>
    <col min="126" max="126" width="25.25" bestFit="1" customWidth="1"/>
    <col min="127" max="127" width="19.75" bestFit="1" customWidth="1"/>
    <col min="128" max="128" width="25.25" bestFit="1" customWidth="1"/>
    <col min="129" max="129" width="19.75" bestFit="1" customWidth="1"/>
    <col min="130" max="130" width="25.25" bestFit="1" customWidth="1"/>
    <col min="131" max="131" width="19.75" bestFit="1" customWidth="1"/>
    <col min="132" max="132" width="25.25" bestFit="1" customWidth="1"/>
    <col min="133" max="133" width="19.75" bestFit="1" customWidth="1"/>
    <col min="134" max="134" width="25.25" bestFit="1" customWidth="1"/>
    <col min="135" max="135" width="19.75" bestFit="1" customWidth="1"/>
    <col min="136" max="136" width="25.25" bestFit="1" customWidth="1"/>
    <col min="137" max="137" width="19.75" bestFit="1" customWidth="1"/>
    <col min="138" max="138" width="25.25" bestFit="1" customWidth="1"/>
    <col min="139" max="139" width="19.75" bestFit="1" customWidth="1"/>
    <col min="140" max="140" width="25.25" bestFit="1" customWidth="1"/>
    <col min="141" max="141" width="19.75" bestFit="1" customWidth="1"/>
    <col min="142" max="142" width="25.25" bestFit="1" customWidth="1"/>
    <col min="143" max="143" width="19.75" bestFit="1" customWidth="1"/>
    <col min="144" max="144" width="25.25" bestFit="1" customWidth="1"/>
    <col min="145" max="145" width="19.75" bestFit="1" customWidth="1"/>
    <col min="146" max="146" width="25.25" bestFit="1" customWidth="1"/>
    <col min="147" max="147" width="19.75" bestFit="1" customWidth="1"/>
    <col min="148" max="148" width="25.25" bestFit="1" customWidth="1"/>
    <col min="149" max="149" width="19.75" bestFit="1" customWidth="1"/>
    <col min="150" max="150" width="25.25" bestFit="1" customWidth="1"/>
    <col min="151" max="151" width="19.75" bestFit="1" customWidth="1"/>
    <col min="152" max="152" width="25.25" bestFit="1" customWidth="1"/>
    <col min="153" max="153" width="19.75" bestFit="1" customWidth="1"/>
    <col min="154" max="154" width="25.25" bestFit="1" customWidth="1"/>
    <col min="155" max="155" width="19.75" bestFit="1" customWidth="1"/>
    <col min="156" max="156" width="25.25" bestFit="1" customWidth="1"/>
    <col min="157" max="157" width="19.75" bestFit="1" customWidth="1"/>
    <col min="158" max="158" width="25.25" bestFit="1" customWidth="1"/>
    <col min="159" max="159" width="19.75" bestFit="1" customWidth="1"/>
    <col min="160" max="160" width="25.25" bestFit="1" customWidth="1"/>
    <col min="161" max="161" width="19.75" bestFit="1" customWidth="1"/>
    <col min="162" max="162" width="25.25" bestFit="1" customWidth="1"/>
    <col min="163" max="163" width="19.75" bestFit="1" customWidth="1"/>
    <col min="164" max="164" width="25.25" bestFit="1" customWidth="1"/>
    <col min="165" max="165" width="19.75" bestFit="1" customWidth="1"/>
    <col min="166" max="166" width="25.25" bestFit="1" customWidth="1"/>
    <col min="167" max="167" width="19.75" bestFit="1" customWidth="1"/>
    <col min="168" max="168" width="25.25" bestFit="1" customWidth="1"/>
    <col min="169" max="169" width="19.75" bestFit="1" customWidth="1"/>
    <col min="170" max="170" width="25.25" bestFit="1" customWidth="1"/>
    <col min="171" max="171" width="19.75" bestFit="1" customWidth="1"/>
    <col min="172" max="172" width="25.25" bestFit="1" customWidth="1"/>
    <col min="173" max="173" width="19.75" bestFit="1" customWidth="1"/>
    <col min="174" max="174" width="25.25" bestFit="1" customWidth="1"/>
    <col min="175" max="175" width="19.75" bestFit="1" customWidth="1"/>
    <col min="176" max="176" width="25.25" bestFit="1" customWidth="1"/>
    <col min="177" max="177" width="19.75" bestFit="1" customWidth="1"/>
    <col min="178" max="178" width="25.25" bestFit="1" customWidth="1"/>
    <col min="179" max="179" width="19.75" bestFit="1" customWidth="1"/>
    <col min="180" max="180" width="25.25" bestFit="1" customWidth="1"/>
    <col min="181" max="181" width="19.75" bestFit="1" customWidth="1"/>
    <col min="182" max="182" width="25.25" bestFit="1" customWidth="1"/>
    <col min="183" max="183" width="19.75" bestFit="1" customWidth="1"/>
    <col min="184" max="184" width="25.25" bestFit="1" customWidth="1"/>
    <col min="185" max="185" width="19.75" bestFit="1" customWidth="1"/>
    <col min="186" max="186" width="25.25" bestFit="1" customWidth="1"/>
    <col min="187" max="187" width="19.75" bestFit="1" customWidth="1"/>
    <col min="188" max="188" width="25.25" bestFit="1" customWidth="1"/>
    <col min="189" max="189" width="19.75" bestFit="1" customWidth="1"/>
    <col min="190" max="190" width="25.25" bestFit="1" customWidth="1"/>
    <col min="191" max="191" width="19.75" bestFit="1" customWidth="1"/>
    <col min="192" max="192" width="25.25" bestFit="1" customWidth="1"/>
    <col min="193" max="193" width="19.75" bestFit="1" customWidth="1"/>
    <col min="194" max="194" width="25.25" bestFit="1" customWidth="1"/>
    <col min="195" max="195" width="19.75" bestFit="1" customWidth="1"/>
    <col min="196" max="196" width="25.25" bestFit="1" customWidth="1"/>
    <col min="197" max="197" width="19.75" bestFit="1" customWidth="1"/>
    <col min="198" max="198" width="25.25" bestFit="1" customWidth="1"/>
    <col min="199" max="199" width="19.75" bestFit="1" customWidth="1"/>
    <col min="200" max="200" width="25.25" bestFit="1" customWidth="1"/>
    <col min="201" max="201" width="19.75" bestFit="1" customWidth="1"/>
    <col min="202" max="202" width="30.4140625" bestFit="1" customWidth="1"/>
    <col min="203" max="203" width="24.75" bestFit="1" customWidth="1"/>
  </cols>
  <sheetData>
    <row r="1" spans="1:5" ht="14.5" thickBot="1"/>
    <row r="2" spans="1:5" ht="25.5" customHeight="1" thickBot="1">
      <c r="C2" s="108" t="s">
        <v>139</v>
      </c>
      <c r="D2" s="109"/>
    </row>
    <row r="4" spans="1:5">
      <c r="A4" s="66"/>
      <c r="B4" s="16" t="s">
        <v>127</v>
      </c>
      <c r="C4" s="17" t="s">
        <v>132</v>
      </c>
      <c r="D4" s="15" t="s">
        <v>130</v>
      </c>
      <c r="E4" s="4" t="s">
        <v>133</v>
      </c>
    </row>
    <row r="5" spans="1:5">
      <c r="B5" s="14" t="s">
        <v>11</v>
      </c>
      <c r="C5" s="15">
        <v>104</v>
      </c>
      <c r="D5" s="15">
        <v>376700</v>
      </c>
      <c r="E5" s="15">
        <v>3.2000000000000006</v>
      </c>
    </row>
    <row r="6" spans="1:5">
      <c r="B6" s="14" t="s">
        <v>20</v>
      </c>
      <c r="C6" s="15">
        <v>65</v>
      </c>
      <c r="D6" s="15">
        <v>175290</v>
      </c>
      <c r="E6" s="15">
        <v>1.7300000000000002</v>
      </c>
    </row>
    <row r="7" spans="1:5">
      <c r="B7" s="14" t="s">
        <v>17</v>
      </c>
      <c r="C7" s="15">
        <v>57</v>
      </c>
      <c r="D7" s="15">
        <v>112060</v>
      </c>
      <c r="E7" s="15">
        <v>1.2400000000000002</v>
      </c>
    </row>
    <row r="8" spans="1:5">
      <c r="B8" s="14" t="s">
        <v>14</v>
      </c>
      <c r="C8" s="15">
        <v>65</v>
      </c>
      <c r="D8" s="15">
        <v>153120</v>
      </c>
      <c r="E8" s="15">
        <v>1.6500000000000004</v>
      </c>
    </row>
    <row r="9" spans="1:5">
      <c r="B9" s="14" t="s">
        <v>8</v>
      </c>
      <c r="C9" s="15">
        <v>72</v>
      </c>
      <c r="D9" s="15">
        <v>187110</v>
      </c>
      <c r="E9" s="15">
        <v>2.0700000000000003</v>
      </c>
    </row>
    <row r="10" spans="1:5">
      <c r="B10" s="14" t="s">
        <v>126</v>
      </c>
      <c r="C10" s="15">
        <v>363</v>
      </c>
      <c r="D10" s="15">
        <v>1004280</v>
      </c>
      <c r="E10" s="15">
        <v>9.889999999999997</v>
      </c>
    </row>
    <row r="11" spans="1:5" ht="14.5" thickBot="1"/>
    <row r="12" spans="1:5" ht="26.25" customHeight="1" thickBot="1">
      <c r="C12" s="108" t="s">
        <v>140</v>
      </c>
      <c r="D12" s="109"/>
    </row>
    <row r="13" spans="1:5" ht="14.5" thickBot="1">
      <c r="E13" s="65"/>
    </row>
    <row r="14" spans="1:5">
      <c r="B14" s="8" t="s">
        <v>127</v>
      </c>
      <c r="C14" s="13" t="s">
        <v>128</v>
      </c>
      <c r="D14" s="9" t="s">
        <v>131</v>
      </c>
    </row>
    <row r="15" spans="1:5">
      <c r="B15" s="14" t="s">
        <v>11</v>
      </c>
      <c r="C15" s="15">
        <v>2880000</v>
      </c>
      <c r="D15" s="15">
        <v>27</v>
      </c>
    </row>
    <row r="16" spans="1:5">
      <c r="B16" s="14" t="s">
        <v>20</v>
      </c>
      <c r="C16" s="15">
        <v>1619000</v>
      </c>
      <c r="D16" s="15">
        <v>18</v>
      </c>
    </row>
    <row r="17" spans="2:4">
      <c r="B17" s="14" t="s">
        <v>17</v>
      </c>
      <c r="C17" s="15">
        <v>1307000</v>
      </c>
      <c r="D17" s="15">
        <v>17</v>
      </c>
    </row>
    <row r="18" spans="2:4">
      <c r="B18" s="14" t="s">
        <v>14</v>
      </c>
      <c r="C18" s="15">
        <v>1496000</v>
      </c>
      <c r="D18" s="15">
        <v>18</v>
      </c>
    </row>
    <row r="19" spans="2:4">
      <c r="B19" s="14" t="s">
        <v>8</v>
      </c>
      <c r="C19" s="15">
        <v>1631000</v>
      </c>
      <c r="D19" s="15">
        <v>20</v>
      </c>
    </row>
    <row r="20" spans="2:4">
      <c r="B20" s="14" t="s">
        <v>126</v>
      </c>
      <c r="C20" s="15">
        <v>8933000</v>
      </c>
      <c r="D20" s="15">
        <v>100</v>
      </c>
    </row>
    <row r="21" spans="2:4" ht="14.5" thickBot="1"/>
    <row r="22" spans="2:4" ht="26.25" customHeight="1" thickBot="1">
      <c r="C22" s="110" t="s">
        <v>141</v>
      </c>
      <c r="D22" s="111"/>
    </row>
    <row r="24" spans="2:4">
      <c r="B24" s="18" t="s">
        <v>127</v>
      </c>
      <c r="C24" s="37" t="s">
        <v>124</v>
      </c>
      <c r="D24" s="19" t="s">
        <v>129</v>
      </c>
    </row>
    <row r="25" spans="2:4">
      <c r="B25" s="20" t="s">
        <v>9</v>
      </c>
      <c r="C25" s="10"/>
      <c r="D25" s="21"/>
    </row>
    <row r="26" spans="2:4">
      <c r="B26" s="25" t="s">
        <v>11</v>
      </c>
      <c r="C26" s="12">
        <v>655890</v>
      </c>
      <c r="D26" s="19">
        <v>15</v>
      </c>
    </row>
    <row r="27" spans="2:4">
      <c r="B27" s="22" t="s">
        <v>20</v>
      </c>
      <c r="C27" s="10">
        <v>380760</v>
      </c>
      <c r="D27" s="21">
        <v>11</v>
      </c>
    </row>
    <row r="28" spans="2:4">
      <c r="B28" s="22" t="s">
        <v>17</v>
      </c>
      <c r="C28" s="10">
        <v>320220</v>
      </c>
      <c r="D28" s="21">
        <v>11</v>
      </c>
    </row>
    <row r="29" spans="2:4">
      <c r="B29" s="22" t="s">
        <v>14</v>
      </c>
      <c r="C29" s="10">
        <v>300450</v>
      </c>
      <c r="D29" s="21">
        <v>9</v>
      </c>
    </row>
    <row r="30" spans="2:4">
      <c r="B30" s="26" t="s">
        <v>8</v>
      </c>
      <c r="C30" s="11">
        <v>372450</v>
      </c>
      <c r="D30" s="24">
        <v>13</v>
      </c>
    </row>
    <row r="31" spans="2:4">
      <c r="B31" s="20" t="s">
        <v>12</v>
      </c>
      <c r="C31" s="10"/>
      <c r="D31" s="21"/>
    </row>
    <row r="32" spans="2:4">
      <c r="B32" s="25" t="s">
        <v>11</v>
      </c>
      <c r="C32" s="12">
        <v>964910</v>
      </c>
      <c r="D32" s="19">
        <v>50</v>
      </c>
    </row>
    <row r="33" spans="2:4">
      <c r="B33" s="22" t="s">
        <v>20</v>
      </c>
      <c r="C33" s="10">
        <v>580610</v>
      </c>
      <c r="D33" s="21">
        <v>33</v>
      </c>
    </row>
    <row r="34" spans="2:4">
      <c r="B34" s="22" t="s">
        <v>17</v>
      </c>
      <c r="C34" s="10">
        <v>380280</v>
      </c>
      <c r="D34" s="21">
        <v>26</v>
      </c>
    </row>
    <row r="35" spans="2:4">
      <c r="B35" s="22" t="s">
        <v>14</v>
      </c>
      <c r="C35" s="10">
        <v>494040</v>
      </c>
      <c r="D35" s="21">
        <v>28</v>
      </c>
    </row>
    <row r="36" spans="2:4">
      <c r="B36" s="26" t="s">
        <v>8</v>
      </c>
      <c r="C36" s="11">
        <v>613720</v>
      </c>
      <c r="D36" s="24">
        <v>39</v>
      </c>
    </row>
    <row r="37" spans="2:4">
      <c r="B37" s="20" t="s">
        <v>15</v>
      </c>
      <c r="C37" s="10"/>
      <c r="D37" s="21"/>
    </row>
    <row r="38" spans="2:4">
      <c r="B38" s="25" t="s">
        <v>11</v>
      </c>
      <c r="C38" s="12">
        <v>1635900</v>
      </c>
      <c r="D38" s="19">
        <v>103</v>
      </c>
    </row>
    <row r="39" spans="2:4">
      <c r="B39" s="22" t="s">
        <v>20</v>
      </c>
      <c r="C39" s="10">
        <v>832920</v>
      </c>
      <c r="D39" s="21">
        <v>64</v>
      </c>
    </row>
    <row r="40" spans="2:4">
      <c r="B40" s="22" t="s">
        <v>17</v>
      </c>
      <c r="C40" s="10">
        <v>718560</v>
      </c>
      <c r="D40" s="21">
        <v>68</v>
      </c>
    </row>
    <row r="41" spans="2:4">
      <c r="B41" s="22" t="s">
        <v>14</v>
      </c>
      <c r="C41" s="10">
        <v>854630</v>
      </c>
      <c r="D41" s="21">
        <v>65</v>
      </c>
    </row>
    <row r="42" spans="2:4">
      <c r="B42" s="26" t="s">
        <v>8</v>
      </c>
      <c r="C42" s="11">
        <v>831940</v>
      </c>
      <c r="D42" s="24">
        <v>67</v>
      </c>
    </row>
    <row r="43" spans="2:4">
      <c r="B43" s="23" t="s">
        <v>126</v>
      </c>
      <c r="C43" s="11">
        <v>9937280</v>
      </c>
      <c r="D43" s="24">
        <v>602</v>
      </c>
    </row>
    <row r="45" spans="2:4" ht="14.5" thickBot="1"/>
    <row r="46" spans="2:4" ht="27.75" customHeight="1" thickBot="1">
      <c r="C46" s="70" t="s">
        <v>142</v>
      </c>
    </row>
  </sheetData>
  <mergeCells count="3">
    <mergeCell ref="C2:D2"/>
    <mergeCell ref="C12:D12"/>
    <mergeCell ref="C22:D22"/>
  </mergeCells>
  <hyperlinks>
    <hyperlink ref="C46" location="Dashboard!A1" display="DASHBOARD" xr:uid="{B81DC104-0F24-4C02-AF96-AFC6B15994EA}"/>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34B-61AB-4470-B70D-974E6C53A397}">
  <sheetPr codeName="Sheet5"/>
  <dimension ref="B1:Q65"/>
  <sheetViews>
    <sheetView showGridLines="0" tabSelected="1" topLeftCell="B1" zoomScale="60" zoomScaleNormal="60" workbookViewId="0">
      <selection activeCell="H28" sqref="H28"/>
    </sheetView>
  </sheetViews>
  <sheetFormatPr defaultRowHeight="14"/>
  <cols>
    <col min="1" max="1" width="4.83203125" customWidth="1"/>
    <col min="2" max="2" width="18" customWidth="1"/>
    <col min="3" max="3" width="19.58203125" customWidth="1"/>
    <col min="4" max="4" width="14.58203125" customWidth="1"/>
    <col min="5" max="5" width="17.4140625" customWidth="1"/>
    <col min="6" max="6" width="17.1640625" customWidth="1"/>
    <col min="7" max="7" width="17" customWidth="1"/>
    <col min="8" max="8" width="24" customWidth="1"/>
    <col min="9" max="9" width="37.58203125" customWidth="1"/>
    <col min="10" max="10" width="35" customWidth="1"/>
    <col min="11" max="11" width="19.75" customWidth="1"/>
    <col min="12" max="12" width="24.75" customWidth="1"/>
    <col min="13" max="13" width="28.75" customWidth="1"/>
    <col min="14" max="14" width="8.83203125" customWidth="1"/>
    <col min="15" max="15" width="44.4140625" customWidth="1"/>
  </cols>
  <sheetData>
    <row r="1" spans="2:17">
      <c r="B1" s="118" t="s">
        <v>136</v>
      </c>
      <c r="C1" s="119"/>
      <c r="D1" s="119"/>
      <c r="E1" s="119"/>
      <c r="F1" s="119"/>
      <c r="G1" s="119"/>
      <c r="H1" s="119"/>
      <c r="I1" s="119"/>
      <c r="J1" s="119"/>
      <c r="K1" s="119"/>
      <c r="L1" s="119"/>
      <c r="M1" s="119"/>
    </row>
    <row r="2" spans="2:17" ht="48.75" customHeight="1" thickBot="1">
      <c r="B2" s="120"/>
      <c r="C2" s="121"/>
      <c r="D2" s="121"/>
      <c r="E2" s="121"/>
      <c r="F2" s="121"/>
      <c r="G2" s="121"/>
      <c r="H2" s="121"/>
      <c r="I2" s="121"/>
      <c r="J2" s="121"/>
      <c r="K2" s="121"/>
      <c r="L2" s="121"/>
      <c r="M2" s="121"/>
    </row>
    <row r="3" spans="2:17">
      <c r="B3" s="112"/>
      <c r="C3" s="113"/>
      <c r="D3" s="113"/>
      <c r="E3" s="113"/>
      <c r="F3" s="113"/>
      <c r="G3" s="113"/>
      <c r="H3" s="113"/>
      <c r="I3" s="113"/>
      <c r="J3" s="113"/>
      <c r="K3" s="113"/>
      <c r="L3" s="113"/>
      <c r="M3" s="113"/>
    </row>
    <row r="4" spans="2:17">
      <c r="B4" s="114"/>
      <c r="C4" s="115"/>
      <c r="D4" s="115"/>
      <c r="E4" s="115"/>
      <c r="F4" s="115"/>
      <c r="G4" s="115"/>
      <c r="H4" s="115"/>
      <c r="I4" s="115"/>
      <c r="J4" s="115"/>
      <c r="K4" s="115"/>
      <c r="L4" s="115"/>
      <c r="M4" s="115"/>
      <c r="P4" s="40"/>
    </row>
    <row r="5" spans="2:17">
      <c r="B5" s="114"/>
      <c r="C5" s="115"/>
      <c r="D5" s="115"/>
      <c r="E5" s="115"/>
      <c r="F5" s="115"/>
      <c r="G5" s="115"/>
      <c r="H5" s="115"/>
      <c r="I5" s="115"/>
      <c r="J5" s="115"/>
      <c r="K5" s="115"/>
      <c r="L5" s="115"/>
      <c r="M5" s="115"/>
    </row>
    <row r="6" spans="2:17">
      <c r="B6" s="114"/>
      <c r="C6" s="115"/>
      <c r="D6" s="115"/>
      <c r="E6" s="115"/>
      <c r="F6" s="115"/>
      <c r="G6" s="115"/>
      <c r="H6" s="115"/>
      <c r="I6" s="115"/>
      <c r="J6" s="115"/>
      <c r="K6" s="115"/>
      <c r="L6" s="115"/>
      <c r="M6" s="115"/>
    </row>
    <row r="7" spans="2:17" ht="15.5">
      <c r="B7" s="114"/>
      <c r="C7" s="115"/>
      <c r="D7" s="115"/>
      <c r="E7" s="115"/>
      <c r="F7" s="115"/>
      <c r="G7" s="115"/>
      <c r="H7" s="115"/>
      <c r="I7" s="115"/>
      <c r="J7" s="115"/>
      <c r="K7" s="115"/>
      <c r="L7" s="115"/>
      <c r="M7" s="115"/>
      <c r="Q7" s="39"/>
    </row>
    <row r="8" spans="2:17" ht="14.5" thickBot="1">
      <c r="B8" s="116"/>
      <c r="C8" s="117"/>
      <c r="D8" s="117"/>
      <c r="E8" s="117"/>
      <c r="F8" s="117"/>
      <c r="G8" s="117"/>
      <c r="H8" s="117"/>
      <c r="I8" s="117"/>
      <c r="J8" s="117"/>
      <c r="K8" s="117"/>
      <c r="L8" s="117"/>
      <c r="M8" s="117"/>
    </row>
    <row r="11" spans="2:17">
      <c r="K11" s="18" t="s">
        <v>127</v>
      </c>
      <c r="L11" s="37" t="s">
        <v>124</v>
      </c>
      <c r="M11" s="19" t="s">
        <v>129</v>
      </c>
    </row>
    <row r="12" spans="2:17">
      <c r="K12" s="20" t="s">
        <v>9</v>
      </c>
      <c r="L12" s="10"/>
      <c r="M12" s="21"/>
    </row>
    <row r="13" spans="2:17">
      <c r="K13" s="25" t="s">
        <v>11</v>
      </c>
      <c r="L13" s="12">
        <v>655890</v>
      </c>
      <c r="M13" s="19">
        <v>15</v>
      </c>
    </row>
    <row r="14" spans="2:17">
      <c r="K14" s="38" t="s">
        <v>20</v>
      </c>
      <c r="L14" s="15">
        <v>380760</v>
      </c>
      <c r="M14" s="15">
        <v>11</v>
      </c>
    </row>
    <row r="15" spans="2:17">
      <c r="K15" s="38" t="s">
        <v>17</v>
      </c>
      <c r="L15" s="15">
        <v>320220</v>
      </c>
      <c r="M15" s="15">
        <v>11</v>
      </c>
    </row>
    <row r="16" spans="2:17">
      <c r="K16" s="38" t="s">
        <v>14</v>
      </c>
      <c r="L16" s="15">
        <v>300450</v>
      </c>
      <c r="M16" s="15">
        <v>9</v>
      </c>
    </row>
    <row r="17" spans="2:13">
      <c r="K17" s="38" t="s">
        <v>8</v>
      </c>
      <c r="L17" s="15">
        <v>372450</v>
      </c>
      <c r="M17" s="15">
        <v>13</v>
      </c>
    </row>
    <row r="18" spans="2:13">
      <c r="K18" s="20" t="s">
        <v>12</v>
      </c>
      <c r="L18" s="10"/>
      <c r="M18" s="21"/>
    </row>
    <row r="19" spans="2:13">
      <c r="K19" s="25" t="s">
        <v>11</v>
      </c>
      <c r="L19" s="12">
        <v>964910</v>
      </c>
      <c r="M19" s="19">
        <v>50</v>
      </c>
    </row>
    <row r="20" spans="2:13">
      <c r="K20" s="38" t="s">
        <v>20</v>
      </c>
      <c r="L20" s="15">
        <v>580610</v>
      </c>
      <c r="M20" s="15">
        <v>33</v>
      </c>
    </row>
    <row r="21" spans="2:13">
      <c r="K21" s="38" t="s">
        <v>17</v>
      </c>
      <c r="L21" s="15">
        <v>380280</v>
      </c>
      <c r="M21" s="15">
        <v>26</v>
      </c>
    </row>
    <row r="22" spans="2:13">
      <c r="K22" s="38" t="s">
        <v>14</v>
      </c>
      <c r="L22" s="15">
        <v>494040</v>
      </c>
      <c r="M22" s="15">
        <v>28</v>
      </c>
    </row>
    <row r="23" spans="2:13">
      <c r="K23" s="38" t="s">
        <v>8</v>
      </c>
      <c r="L23" s="15">
        <v>613720</v>
      </c>
      <c r="M23" s="15">
        <v>39</v>
      </c>
    </row>
    <row r="24" spans="2:13" ht="14.5" thickBot="1">
      <c r="K24" s="20" t="s">
        <v>15</v>
      </c>
      <c r="L24" s="10"/>
      <c r="M24" s="21"/>
    </row>
    <row r="25" spans="2:13">
      <c r="B25" s="8" t="s">
        <v>125</v>
      </c>
      <c r="C25" s="32" t="s">
        <v>2</v>
      </c>
      <c r="D25" s="27"/>
      <c r="E25" s="27"/>
      <c r="F25" s="28"/>
      <c r="G25" s="8" t="s">
        <v>127</v>
      </c>
      <c r="H25" s="13" t="s">
        <v>128</v>
      </c>
      <c r="I25" s="9" t="s">
        <v>131</v>
      </c>
      <c r="K25" s="25" t="s">
        <v>11</v>
      </c>
      <c r="L25" s="12">
        <v>1635900</v>
      </c>
      <c r="M25" s="19">
        <v>103</v>
      </c>
    </row>
    <row r="26" spans="2:13">
      <c r="B26" s="33" t="s">
        <v>4</v>
      </c>
      <c r="C26" t="s">
        <v>9</v>
      </c>
      <c r="D26" t="s">
        <v>12</v>
      </c>
      <c r="E26" t="s">
        <v>15</v>
      </c>
      <c r="F26" s="30" t="s">
        <v>126</v>
      </c>
      <c r="G26" s="14" t="s">
        <v>11</v>
      </c>
      <c r="H26" s="15">
        <v>2880000</v>
      </c>
      <c r="I26" s="15">
        <v>27</v>
      </c>
      <c r="K26" s="38" t="s">
        <v>20</v>
      </c>
      <c r="L26" s="15">
        <v>832920</v>
      </c>
      <c r="M26" s="15">
        <v>64</v>
      </c>
    </row>
    <row r="27" spans="2:13">
      <c r="B27" s="29">
        <v>2</v>
      </c>
      <c r="C27" s="3">
        <v>56833.333333333336</v>
      </c>
      <c r="D27" s="3">
        <v>73860</v>
      </c>
      <c r="E27" s="3">
        <v>103333.33333333333</v>
      </c>
      <c r="F27" s="34">
        <v>72803.076923076922</v>
      </c>
      <c r="G27" s="14" t="s">
        <v>20</v>
      </c>
      <c r="H27" s="15">
        <v>1619000</v>
      </c>
      <c r="I27" s="15">
        <v>18</v>
      </c>
      <c r="K27" s="38" t="s">
        <v>17</v>
      </c>
      <c r="L27" s="15">
        <v>718560</v>
      </c>
      <c r="M27" s="15">
        <v>68</v>
      </c>
    </row>
    <row r="28" spans="2:13">
      <c r="B28" s="29">
        <v>3</v>
      </c>
      <c r="C28" s="3">
        <v>62132.142857142855</v>
      </c>
      <c r="D28" s="3">
        <v>84903</v>
      </c>
      <c r="E28" s="3">
        <v>118692.85714285714</v>
      </c>
      <c r="F28" s="34">
        <v>82249.354838709682</v>
      </c>
      <c r="G28" s="14" t="s">
        <v>17</v>
      </c>
      <c r="H28" s="15">
        <v>1307000</v>
      </c>
      <c r="I28" s="15">
        <v>17</v>
      </c>
      <c r="K28" s="38" t="s">
        <v>14</v>
      </c>
      <c r="L28" s="15">
        <v>854630</v>
      </c>
      <c r="M28" s="15">
        <v>65</v>
      </c>
    </row>
    <row r="29" spans="2:13">
      <c r="B29" s="29">
        <v>4</v>
      </c>
      <c r="C29" s="3">
        <v>71597.777777777781</v>
      </c>
      <c r="D29" s="3">
        <v>94577.857142857145</v>
      </c>
      <c r="E29" s="3">
        <v>133406.92307692306</v>
      </c>
      <c r="F29" s="34">
        <v>102854.44444444444</v>
      </c>
      <c r="G29" s="14" t="s">
        <v>14</v>
      </c>
      <c r="H29" s="15">
        <v>1496000</v>
      </c>
      <c r="I29" s="15">
        <v>18</v>
      </c>
      <c r="K29" s="38" t="s">
        <v>8</v>
      </c>
      <c r="L29" s="15">
        <v>831940</v>
      </c>
      <c r="M29" s="15">
        <v>67</v>
      </c>
    </row>
    <row r="30" spans="2:13">
      <c r="B30" s="29">
        <v>5</v>
      </c>
      <c r="C30" s="3">
        <v>87270</v>
      </c>
      <c r="D30" s="3">
        <v>113000</v>
      </c>
      <c r="E30" s="3">
        <v>153754.61538461538</v>
      </c>
      <c r="F30" s="34">
        <v>136917.5</v>
      </c>
      <c r="G30" s="14" t="s">
        <v>8</v>
      </c>
      <c r="H30" s="15">
        <v>1631000</v>
      </c>
      <c r="I30" s="15">
        <v>20</v>
      </c>
      <c r="K30" s="23" t="s">
        <v>126</v>
      </c>
      <c r="L30" s="11">
        <v>9937280</v>
      </c>
      <c r="M30" s="24">
        <v>602</v>
      </c>
    </row>
    <row r="31" spans="2:13" ht="14.5" thickBot="1">
      <c r="B31" s="31" t="s">
        <v>126</v>
      </c>
      <c r="C31" s="35">
        <v>65476.451612903227</v>
      </c>
      <c r="D31" s="35">
        <v>91926.060606060608</v>
      </c>
      <c r="E31" s="35">
        <v>135387.5</v>
      </c>
      <c r="F31" s="36">
        <v>99372.800000000003</v>
      </c>
      <c r="G31" s="14" t="s">
        <v>126</v>
      </c>
      <c r="H31" s="15">
        <v>8933000</v>
      </c>
      <c r="I31" s="15">
        <v>100</v>
      </c>
    </row>
    <row r="40" spans="12:15" ht="14.5" thickBot="1"/>
    <row r="41" spans="12:15">
      <c r="L41" s="122" t="s">
        <v>143</v>
      </c>
      <c r="M41" s="123"/>
      <c r="N41" s="123"/>
      <c r="O41" s="124"/>
    </row>
    <row r="42" spans="12:15">
      <c r="L42" s="125"/>
      <c r="M42" s="126"/>
      <c r="N42" s="126"/>
      <c r="O42" s="127"/>
    </row>
    <row r="43" spans="12:15">
      <c r="L43" s="125"/>
      <c r="M43" s="126"/>
      <c r="N43" s="126"/>
      <c r="O43" s="127"/>
    </row>
    <row r="44" spans="12:15" ht="14.5" thickBot="1">
      <c r="L44" s="128"/>
      <c r="M44" s="129"/>
      <c r="N44" s="129"/>
      <c r="O44" s="130"/>
    </row>
    <row r="49" spans="2:10" ht="14.5" thickBot="1"/>
    <row r="50" spans="2:10" ht="64.5" customHeight="1" thickBot="1">
      <c r="B50" s="58" t="s">
        <v>0</v>
      </c>
      <c r="C50" s="60" t="s">
        <v>1</v>
      </c>
      <c r="D50" s="60" t="s">
        <v>2</v>
      </c>
      <c r="E50" s="60" t="s">
        <v>3</v>
      </c>
      <c r="F50" s="60" t="s">
        <v>4</v>
      </c>
      <c r="G50" s="60" t="s">
        <v>5</v>
      </c>
      <c r="H50" s="61" t="s">
        <v>6</v>
      </c>
      <c r="I50" s="62" t="s">
        <v>116</v>
      </c>
      <c r="J50" s="59" t="s">
        <v>135</v>
      </c>
    </row>
    <row r="51" spans="2:10" ht="43.5" customHeight="1" thickBot="1">
      <c r="B51" s="52" t="s">
        <v>7</v>
      </c>
      <c r="C51" s="52" t="s">
        <v>8</v>
      </c>
      <c r="D51" s="52" t="s">
        <v>9</v>
      </c>
      <c r="E51" s="52">
        <v>2</v>
      </c>
      <c r="F51" s="52">
        <v>3</v>
      </c>
      <c r="G51" s="53">
        <v>55000</v>
      </c>
      <c r="H51" s="54">
        <v>0.05</v>
      </c>
      <c r="I51" s="63"/>
      <c r="J51" s="64"/>
    </row>
    <row r="52" spans="2:10" ht="39" customHeight="1" thickBot="1">
      <c r="B52" s="52" t="s">
        <v>10</v>
      </c>
      <c r="C52" s="52" t="s">
        <v>11</v>
      </c>
      <c r="D52" s="52" t="s">
        <v>12</v>
      </c>
      <c r="E52" s="52">
        <v>5</v>
      </c>
      <c r="F52" s="52">
        <v>4</v>
      </c>
      <c r="G52" s="53">
        <v>95000</v>
      </c>
      <c r="H52" s="54">
        <v>0.12</v>
      </c>
      <c r="I52" s="63"/>
      <c r="J52" s="64"/>
    </row>
    <row r="53" spans="2:10" ht="36.75" customHeight="1" thickBot="1">
      <c r="B53" s="52" t="s">
        <v>13</v>
      </c>
      <c r="C53" s="52" t="s">
        <v>14</v>
      </c>
      <c r="D53" s="52" t="s">
        <v>15</v>
      </c>
      <c r="E53" s="52">
        <v>8</v>
      </c>
      <c r="F53" s="52">
        <v>5</v>
      </c>
      <c r="G53" s="53">
        <v>115000</v>
      </c>
      <c r="H53" s="54">
        <v>0.2</v>
      </c>
      <c r="I53" s="63"/>
      <c r="J53" s="64"/>
    </row>
    <row r="54" spans="2:10" ht="40.5" customHeight="1" thickBot="1">
      <c r="B54" s="52" t="s">
        <v>16</v>
      </c>
      <c r="C54" s="52" t="s">
        <v>17</v>
      </c>
      <c r="D54" s="52" t="s">
        <v>9</v>
      </c>
      <c r="E54" s="52">
        <v>1</v>
      </c>
      <c r="F54" s="52">
        <v>2</v>
      </c>
      <c r="G54" s="53">
        <v>48000</v>
      </c>
      <c r="H54" s="54">
        <v>0</v>
      </c>
      <c r="I54" s="63"/>
      <c r="J54" s="64"/>
    </row>
    <row r="55" spans="2:10" ht="44.25" customHeight="1" thickBot="1">
      <c r="B55" s="52" t="s">
        <v>18</v>
      </c>
      <c r="C55" s="52" t="s">
        <v>11</v>
      </c>
      <c r="D55" s="52" t="s">
        <v>15</v>
      </c>
      <c r="E55" s="52">
        <v>10</v>
      </c>
      <c r="F55" s="52">
        <v>4</v>
      </c>
      <c r="G55" s="53">
        <v>140000</v>
      </c>
      <c r="H55" s="54">
        <v>0.15</v>
      </c>
      <c r="I55" s="63"/>
      <c r="J55" s="64"/>
    </row>
    <row r="56" spans="2:10" ht="34.5" customHeight="1" thickBot="1">
      <c r="B56" s="52" t="s">
        <v>19</v>
      </c>
      <c r="C56" s="52" t="s">
        <v>20</v>
      </c>
      <c r="D56" s="52" t="s">
        <v>12</v>
      </c>
      <c r="E56" s="52">
        <v>6</v>
      </c>
      <c r="F56" s="52">
        <v>3</v>
      </c>
      <c r="G56" s="53">
        <v>85000</v>
      </c>
      <c r="H56" s="54">
        <v>7.0000000000000007E-2</v>
      </c>
      <c r="I56" s="63"/>
      <c r="J56" s="64"/>
    </row>
    <row r="57" spans="2:10" ht="39.75" customHeight="1" thickBot="1">
      <c r="B57" s="52" t="s">
        <v>21</v>
      </c>
      <c r="C57" s="52" t="s">
        <v>8</v>
      </c>
      <c r="D57" s="52" t="s">
        <v>15</v>
      </c>
      <c r="E57" s="52">
        <v>9</v>
      </c>
      <c r="F57" s="52">
        <v>5</v>
      </c>
      <c r="G57" s="53">
        <v>110000</v>
      </c>
      <c r="H57" s="54">
        <v>0.22</v>
      </c>
      <c r="I57" s="63"/>
      <c r="J57" s="64"/>
    </row>
    <row r="58" spans="2:10" ht="54" customHeight="1">
      <c r="B58" s="55" t="s">
        <v>22</v>
      </c>
      <c r="C58" s="55" t="s">
        <v>11</v>
      </c>
      <c r="D58" s="55" t="s">
        <v>9</v>
      </c>
      <c r="E58" s="55">
        <v>3</v>
      </c>
      <c r="F58" s="55">
        <v>4</v>
      </c>
      <c r="G58" s="56">
        <v>78000</v>
      </c>
      <c r="H58" s="57">
        <v>0.1</v>
      </c>
      <c r="I58" s="63"/>
      <c r="J58" s="64"/>
    </row>
    <row r="59" spans="2:10" ht="27" customHeight="1">
      <c r="B59" s="49"/>
      <c r="C59" s="49"/>
      <c r="D59" s="49"/>
      <c r="E59" s="49"/>
      <c r="F59" s="49"/>
      <c r="G59" s="50"/>
      <c r="H59" s="51"/>
    </row>
    <row r="60" spans="2:10">
      <c r="B60" s="46"/>
      <c r="C60" s="46"/>
      <c r="D60" s="46"/>
      <c r="E60" s="46"/>
      <c r="F60" s="46"/>
      <c r="G60" s="47"/>
      <c r="H60" s="48"/>
    </row>
    <row r="61" spans="2:10">
      <c r="B61" s="46"/>
      <c r="C61" s="46"/>
      <c r="D61" s="46"/>
      <c r="E61" s="46"/>
      <c r="F61" s="46"/>
      <c r="G61" s="47"/>
      <c r="H61" s="48"/>
    </row>
    <row r="62" spans="2:10">
      <c r="B62" s="46"/>
      <c r="C62" s="46"/>
      <c r="D62" s="46"/>
      <c r="E62" s="46"/>
      <c r="F62" s="46"/>
      <c r="G62" s="47"/>
      <c r="H62" s="48"/>
    </row>
    <row r="63" spans="2:10">
      <c r="B63" s="46"/>
      <c r="C63" s="46"/>
      <c r="D63" s="46"/>
      <c r="E63" s="46"/>
      <c r="F63" s="46"/>
      <c r="G63" s="47"/>
      <c r="H63" s="48"/>
    </row>
    <row r="64" spans="2:10">
      <c r="B64" s="46"/>
      <c r="C64" s="46"/>
      <c r="D64" s="46"/>
      <c r="E64" s="46"/>
      <c r="F64" s="46"/>
      <c r="G64" s="47"/>
      <c r="H64" s="48"/>
    </row>
    <row r="65" spans="2:8">
      <c r="B65" s="46"/>
      <c r="C65" s="46"/>
      <c r="D65" s="46"/>
      <c r="E65" s="46"/>
      <c r="F65" s="46"/>
      <c r="G65" s="47"/>
      <c r="H65" s="48"/>
    </row>
  </sheetData>
  <mergeCells count="3">
    <mergeCell ref="B3:M8"/>
    <mergeCell ref="B1:M2"/>
    <mergeCell ref="L41:O44"/>
  </mergeCells>
  <conditionalFormatting sqref="I50">
    <cfRule type="cellIs" dxfId="40" priority="2" operator="equal">
      <formula>10</formula>
    </cfRule>
    <cfRule type="cellIs" dxfId="39" priority="3" operator="equal">
      <formula>0</formula>
    </cfRule>
  </conditionalFormatting>
  <dataValidations count="1">
    <dataValidation type="date" allowBlank="1" showInputMessage="1" showErrorMessage="1" sqref="I50" xr:uid="{63612B3D-09AE-4916-B60F-3C73D353660A}">
      <formula1>I51</formula1>
      <formula2>#REF!</formula2>
    </dataValidation>
  </dataValidations>
  <hyperlinks>
    <hyperlink ref="L41" r:id="rId4" xr:uid="{3E820AF8-C11D-4F1B-8452-480CA0A09606}"/>
  </hyperlink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9" r:id="rId7" name="Button 5">
              <controlPr defaultSize="0" print="0" autoFill="0" autoPict="0" macro="[0]!Macro3">
                <anchor moveWithCells="1" sizeWithCells="1">
                  <from>
                    <xdr:col>10</xdr:col>
                    <xdr:colOff>374650</xdr:colOff>
                    <xdr:row>51</xdr:row>
                    <xdr:rowOff>146050</xdr:rowOff>
                  </from>
                  <to>
                    <xdr:col>12</xdr:col>
                    <xdr:colOff>241300</xdr:colOff>
                    <xdr:row>52</xdr:row>
                    <xdr:rowOff>381000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 cleaning process</vt:lpstr>
      <vt:lpstr>Raw data</vt:lpstr>
      <vt:lpstr>Sum of salary</vt:lpstr>
      <vt:lpstr>Cleaning 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Anudip</dc:creator>
  <cp:lastModifiedBy>Anudip</cp:lastModifiedBy>
  <dcterms:created xsi:type="dcterms:W3CDTF">2026-05-18T10:47:24Z</dcterms:created>
  <dcterms:modified xsi:type="dcterms:W3CDTF">2026-05-19T09:59:49Z</dcterms:modified>
</cp:coreProperties>
</file>