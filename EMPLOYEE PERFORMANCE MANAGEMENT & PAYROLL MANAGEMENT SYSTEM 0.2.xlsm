
<file path=[Content_Types].xml><?xml version="1.0" encoding="utf-8"?>
<Types xmlns="http://schemas.openxmlformats.org/package/2006/content-types">
  <Default Extension="data" ContentType="application/vnd.openxmlformats-officedocument.model+data"/>
  <Default Extension="glb" ContentType="model/gltf.binary"/>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slicers/slicer3.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slicers/slicer4.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trlProps/ctrlProp1.xml" ContentType="application/vnd.ms-excel.controlproperties+xml"/>
  <Override PartName="/xl/drawings/drawing7.xml" ContentType="application/vnd.openxmlformats-officedocument.drawing+xml"/>
  <Override PartName="/xl/slicers/slicer5.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codeName="ThisWorkbook"/>
  <mc:AlternateContent xmlns:mc="http://schemas.openxmlformats.org/markup-compatibility/2006">
    <mc:Choice Requires="x15">
      <x15ac:absPath xmlns:x15ac="http://schemas.microsoft.com/office/spreadsheetml/2010/11/ac" url="C:\Users\arnik\OneDrive\Documents\Desktop\"/>
    </mc:Choice>
  </mc:AlternateContent>
  <xr:revisionPtr revIDLastSave="0" documentId="8_{766DC8EF-C47E-4CDF-8528-095D385D27C9}" xr6:coauthVersionLast="47" xr6:coauthVersionMax="47" xr10:uidLastSave="{00000000-0000-0000-0000-000000000000}"/>
  <bookViews>
    <workbookView xWindow="-108" yWindow="-108" windowWidth="23256" windowHeight="13176" tabRatio="500" firstSheet="2" activeTab="5" xr2:uid="{00000000-000D-0000-FFFF-FFFF00000000}"/>
  </bookViews>
  <sheets>
    <sheet name="🏠 Home" sheetId="1" r:id="rId1"/>
    <sheet name="📋 Instructions" sheetId="7" r:id="rId2"/>
    <sheet name="📂 Raw Data" sheetId="2" r:id="rId3"/>
    <sheet name="✅ Clean Data" sheetId="3" r:id="rId4"/>
    <sheet name="🔍 Dept Summary" sheetId="5" r:id="rId5"/>
    <sheet name="📊 Dashboard" sheetId="4" r:id="rId6"/>
    <sheet name="Sheet5" sheetId="14" r:id="rId7"/>
    <sheet name="Sheet4" sheetId="13" r:id="rId8"/>
    <sheet name="Sheet3" sheetId="11" r:id="rId9"/>
    <sheet name="Sheet2" sheetId="10" r:id="rId10"/>
    <sheet name="Sheet1" sheetId="12" r:id="rId11"/>
  </sheets>
  <definedNames>
    <definedName name="_xlnm._FilterDatabase" localSheetId="3" hidden="1">'✅ Clean Data'!$A$2:$R$352</definedName>
    <definedName name="_xlcn.WorksheetConnection_CleanDataA2R352" hidden="1">'✅ Clean Data'!$A$2:$R$352</definedName>
    <definedName name="Slicer_City__Cleaned">#N/A</definedName>
    <definedName name="Slicer_City__Cleaned1">#N/A</definedName>
    <definedName name="Slicer_Department__Cleaned">#N/A</definedName>
    <definedName name="Slicer_Department__Cleaned1">#N/A</definedName>
  </definedNames>
  <calcPr calcId="191029" iterateDelta="1E-4"/>
  <extLst>
    <ext xmlns:x14="http://schemas.microsoft.com/office/spreadsheetml/2009/9/main" uri="{876F7934-8845-4945-9796-88D515C7AA90}">
      <x14:pivotCaches>
        <pivotCache cacheId="0" r:id="rId12"/>
      </x14:pivotCaches>
    </ex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841E416B-1EF1-43b6-AB56-02D37102CBD5}">
      <x15:pivotCaches>
        <pivotCache cacheId="1" r:id="rId17"/>
        <pivotCache cacheId="2" r:id="rId18"/>
        <pivotCache cacheId="3" r:id="rId19"/>
        <pivotCache cacheId="4" r:id="rId20"/>
        <pivotCache cacheId="5" r:id="rId21"/>
        <pivotCache cacheId="6" r:id="rId22"/>
        <pivotCache cacheId="7" r:id="rId23"/>
        <pivotCache cacheId="8" r:id="rId24"/>
      </x15:pivotCaches>
    </ext>
    <ext xmlns:x15="http://schemas.microsoft.com/office/spreadsheetml/2010/11/main" uri="{983426D0-5260-488c-9760-48F4B6AC55F4}">
      <x15:pivotTableReferences>
        <x15:pivotTableReference r:id="rId25"/>
        <x15:pivotTableReference r:id="rId26"/>
        <x15:pivotTableReference r:id="rId27"/>
        <x15:pivotTableReference r:id="rId28"/>
        <x15:pivotTableReference r:id="rId29"/>
        <x15:pivotTableReference r:id="rId30"/>
        <x15:pivotTableReference r:id="rId31"/>
        <x15:pivotTableReference r:id="rId32"/>
      </x15:pivotTableReferences>
    </ext>
    <ext xmlns:x15="http://schemas.microsoft.com/office/spreadsheetml/2010/11/main" uri="{FCE2AD5D-F65C-4FA6-A056-5C36A1767C68}">
      <x15:dataModel>
        <x15:modelTables>
          <x15:modelTable id="Range" name="Range" connection="WorksheetConnection_✅ Clean Data!$A$2:$R$35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H3" i="3" l="1"/>
  <c r="M3" i="3"/>
  <c r="R4" i="3"/>
  <c r="R5" i="3"/>
  <c r="R6" i="3"/>
  <c r="R7" i="3"/>
  <c r="R8" i="3"/>
  <c r="R9" i="3"/>
  <c r="R10" i="3"/>
  <c r="R11" i="3"/>
  <c r="R12" i="3"/>
  <c r="R13" i="3"/>
  <c r="R14" i="3"/>
  <c r="R15" i="3"/>
  <c r="R16"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 i="3"/>
  <c r="Q4" i="3"/>
  <c r="Q5" i="3"/>
  <c r="Q6" i="3"/>
  <c r="Q7" i="3"/>
  <c r="Q8" i="3"/>
  <c r="Q9" i="3"/>
  <c r="Q10" i="3"/>
  <c r="Q11" i="3"/>
  <c r="Q12" i="3"/>
  <c r="Q13" i="3"/>
  <c r="Q14" i="3"/>
  <c r="Q15" i="3"/>
  <c r="Q16" i="3"/>
  <c r="Q17" i="3"/>
  <c r="Q18" i="3"/>
  <c r="Q19" i="3"/>
  <c r="Q20" i="3"/>
  <c r="Q21" i="3"/>
  <c r="Q22" i="3"/>
  <c r="Q23" i="3"/>
  <c r="Q24" i="3"/>
  <c r="Q25" i="3"/>
  <c r="Q26" i="3"/>
  <c r="Q27" i="3"/>
  <c r="Q28" i="3"/>
  <c r="Q29" i="3"/>
  <c r="Q30" i="3"/>
  <c r="Q31" i="3"/>
  <c r="Q32" i="3"/>
  <c r="Q33" i="3"/>
  <c r="Q34" i="3"/>
  <c r="Q35" i="3"/>
  <c r="Q36" i="3"/>
  <c r="Q37" i="3"/>
  <c r="Q38" i="3"/>
  <c r="Q39" i="3"/>
  <c r="Q40" i="3"/>
  <c r="Q41" i="3"/>
  <c r="Q42" i="3"/>
  <c r="Q43" i="3"/>
  <c r="Q44" i="3"/>
  <c r="Q45" i="3"/>
  <c r="Q46" i="3"/>
  <c r="Q47" i="3"/>
  <c r="Q48" i="3"/>
  <c r="Q49" i="3"/>
  <c r="Q50" i="3"/>
  <c r="Q51" i="3"/>
  <c r="Q52" i="3"/>
  <c r="Q53" i="3"/>
  <c r="Q54" i="3"/>
  <c r="Q55" i="3"/>
  <c r="Q56" i="3"/>
  <c r="Q57" i="3"/>
  <c r="Q58" i="3"/>
  <c r="Q59" i="3"/>
  <c r="Q60" i="3"/>
  <c r="Q61" i="3"/>
  <c r="Q62" i="3"/>
  <c r="Q63" i="3"/>
  <c r="Q64" i="3"/>
  <c r="Q65" i="3"/>
  <c r="Q66" i="3"/>
  <c r="Q67" i="3"/>
  <c r="Q68" i="3"/>
  <c r="Q69" i="3"/>
  <c r="Q70" i="3"/>
  <c r="Q71" i="3"/>
  <c r="Q72" i="3"/>
  <c r="Q73" i="3"/>
  <c r="Q74" i="3"/>
  <c r="Q75" i="3"/>
  <c r="Q76" i="3"/>
  <c r="Q77" i="3"/>
  <c r="Q78" i="3"/>
  <c r="Q79" i="3"/>
  <c r="Q80" i="3"/>
  <c r="Q81" i="3"/>
  <c r="Q82" i="3"/>
  <c r="Q83" i="3"/>
  <c r="Q84" i="3"/>
  <c r="Q85" i="3"/>
  <c r="Q86" i="3"/>
  <c r="Q87" i="3"/>
  <c r="Q88" i="3"/>
  <c r="Q89" i="3"/>
  <c r="Q90" i="3"/>
  <c r="Q91" i="3"/>
  <c r="Q92" i="3"/>
  <c r="Q93" i="3"/>
  <c r="Q94" i="3"/>
  <c r="Q95" i="3"/>
  <c r="Q96" i="3"/>
  <c r="Q97" i="3"/>
  <c r="Q98" i="3"/>
  <c r="Q99" i="3"/>
  <c r="Q100" i="3"/>
  <c r="Q101" i="3"/>
  <c r="Q102" i="3"/>
  <c r="Q103" i="3"/>
  <c r="Q104" i="3"/>
  <c r="Q105" i="3"/>
  <c r="Q106" i="3"/>
  <c r="Q107" i="3"/>
  <c r="Q108" i="3"/>
  <c r="Q109" i="3"/>
  <c r="Q110" i="3"/>
  <c r="Q111" i="3"/>
  <c r="Q112" i="3"/>
  <c r="Q113" i="3"/>
  <c r="Q114" i="3"/>
  <c r="Q115" i="3"/>
  <c r="Q116" i="3"/>
  <c r="Q117" i="3"/>
  <c r="Q118" i="3"/>
  <c r="Q119" i="3"/>
  <c r="Q120" i="3"/>
  <c r="Q121" i="3"/>
  <c r="Q122" i="3"/>
  <c r="Q123" i="3"/>
  <c r="Q124" i="3"/>
  <c r="Q125" i="3"/>
  <c r="Q126" i="3"/>
  <c r="Q127" i="3"/>
  <c r="Q128" i="3"/>
  <c r="Q129" i="3"/>
  <c r="Q130" i="3"/>
  <c r="Q131" i="3"/>
  <c r="Q132" i="3"/>
  <c r="Q133" i="3"/>
  <c r="Q134" i="3"/>
  <c r="Q135" i="3"/>
  <c r="Q136" i="3"/>
  <c r="Q137" i="3"/>
  <c r="Q138" i="3"/>
  <c r="Q139" i="3"/>
  <c r="Q140" i="3"/>
  <c r="Q141" i="3"/>
  <c r="Q142" i="3"/>
  <c r="Q143" i="3"/>
  <c r="Q144" i="3"/>
  <c r="Q145" i="3"/>
  <c r="Q146" i="3"/>
  <c r="Q147" i="3"/>
  <c r="Q148" i="3"/>
  <c r="Q149" i="3"/>
  <c r="Q150" i="3"/>
  <c r="Q151" i="3"/>
  <c r="Q152" i="3"/>
  <c r="Q153" i="3"/>
  <c r="Q154" i="3"/>
  <c r="Q155" i="3"/>
  <c r="Q156" i="3"/>
  <c r="Q157" i="3"/>
  <c r="Q158" i="3"/>
  <c r="Q159" i="3"/>
  <c r="Q160" i="3"/>
  <c r="Q161" i="3"/>
  <c r="Q162" i="3"/>
  <c r="Q163" i="3"/>
  <c r="Q164" i="3"/>
  <c r="Q165" i="3"/>
  <c r="Q166" i="3"/>
  <c r="Q167" i="3"/>
  <c r="Q168" i="3"/>
  <c r="Q169" i="3"/>
  <c r="Q170" i="3"/>
  <c r="Q171" i="3"/>
  <c r="Q172" i="3"/>
  <c r="Q173" i="3"/>
  <c r="Q174" i="3"/>
  <c r="Q175" i="3"/>
  <c r="Q176" i="3"/>
  <c r="Q177" i="3"/>
  <c r="Q178" i="3"/>
  <c r="Q179" i="3"/>
  <c r="Q180" i="3"/>
  <c r="Q181" i="3"/>
  <c r="Q182" i="3"/>
  <c r="Q183" i="3"/>
  <c r="Q184" i="3"/>
  <c r="Q185" i="3"/>
  <c r="Q186" i="3"/>
  <c r="Q187" i="3"/>
  <c r="Q188" i="3"/>
  <c r="Q189" i="3"/>
  <c r="Q190" i="3"/>
  <c r="Q191" i="3"/>
  <c r="Q192" i="3"/>
  <c r="Q193" i="3"/>
  <c r="Q194" i="3"/>
  <c r="Q195" i="3"/>
  <c r="Q196" i="3"/>
  <c r="Q197" i="3"/>
  <c r="Q198" i="3"/>
  <c r="Q199" i="3"/>
  <c r="Q200" i="3"/>
  <c r="Q201" i="3"/>
  <c r="Q202" i="3"/>
  <c r="Q203" i="3"/>
  <c r="Q204" i="3"/>
  <c r="Q205" i="3"/>
  <c r="Q206" i="3"/>
  <c r="Q207" i="3"/>
  <c r="Q208" i="3"/>
  <c r="Q209" i="3"/>
  <c r="Q210" i="3"/>
  <c r="Q211" i="3"/>
  <c r="Q212" i="3"/>
  <c r="Q213" i="3"/>
  <c r="Q214" i="3"/>
  <c r="Q215" i="3"/>
  <c r="Q216" i="3"/>
  <c r="Q217" i="3"/>
  <c r="Q218" i="3"/>
  <c r="Q219" i="3"/>
  <c r="Q220" i="3"/>
  <c r="Q221" i="3"/>
  <c r="Q222" i="3"/>
  <c r="Q223" i="3"/>
  <c r="Q224" i="3"/>
  <c r="Q225" i="3"/>
  <c r="Q226" i="3"/>
  <c r="Q227" i="3"/>
  <c r="Q228" i="3"/>
  <c r="Q229" i="3"/>
  <c r="Q230" i="3"/>
  <c r="Q231" i="3"/>
  <c r="Q232" i="3"/>
  <c r="Q233" i="3"/>
  <c r="Q234" i="3"/>
  <c r="Q235" i="3"/>
  <c r="Q236" i="3"/>
  <c r="Q237" i="3"/>
  <c r="Q238" i="3"/>
  <c r="Q239" i="3"/>
  <c r="Q240" i="3"/>
  <c r="Q241" i="3"/>
  <c r="Q242" i="3"/>
  <c r="Q243" i="3"/>
  <c r="Q244" i="3"/>
  <c r="Q245" i="3"/>
  <c r="Q246" i="3"/>
  <c r="Q247" i="3"/>
  <c r="Q248" i="3"/>
  <c r="Q249" i="3"/>
  <c r="Q250" i="3"/>
  <c r="Q251" i="3"/>
  <c r="Q252" i="3"/>
  <c r="Q253" i="3"/>
  <c r="Q254" i="3"/>
  <c r="Q255" i="3"/>
  <c r="Q256" i="3"/>
  <c r="Q257" i="3"/>
  <c r="Q258" i="3"/>
  <c r="Q259" i="3"/>
  <c r="Q260" i="3"/>
  <c r="Q261" i="3"/>
  <c r="Q262" i="3"/>
  <c r="Q263" i="3"/>
  <c r="Q264" i="3"/>
  <c r="Q265" i="3"/>
  <c r="Q266" i="3"/>
  <c r="Q267" i="3"/>
  <c r="Q268" i="3"/>
  <c r="Q269" i="3"/>
  <c r="Q270" i="3"/>
  <c r="Q271" i="3"/>
  <c r="Q272" i="3"/>
  <c r="Q273" i="3"/>
  <c r="Q274" i="3"/>
  <c r="Q275" i="3"/>
  <c r="Q276" i="3"/>
  <c r="Q277" i="3"/>
  <c r="Q278" i="3"/>
  <c r="Q279" i="3"/>
  <c r="Q280" i="3"/>
  <c r="Q281" i="3"/>
  <c r="Q282" i="3"/>
  <c r="Q283" i="3"/>
  <c r="Q284" i="3"/>
  <c r="Q285" i="3"/>
  <c r="Q286" i="3"/>
  <c r="Q287" i="3"/>
  <c r="Q288" i="3"/>
  <c r="Q289" i="3"/>
  <c r="Q290" i="3"/>
  <c r="Q291" i="3"/>
  <c r="Q292" i="3"/>
  <c r="Q293" i="3"/>
  <c r="Q294" i="3"/>
  <c r="Q295" i="3"/>
  <c r="Q296" i="3"/>
  <c r="Q297" i="3"/>
  <c r="Q298" i="3"/>
  <c r="Q299" i="3"/>
  <c r="Q300" i="3"/>
  <c r="Q301" i="3"/>
  <c r="Q302" i="3"/>
  <c r="Q303" i="3"/>
  <c r="Q304" i="3"/>
  <c r="Q305" i="3"/>
  <c r="Q306" i="3"/>
  <c r="Q307" i="3"/>
  <c r="Q308" i="3"/>
  <c r="Q309" i="3"/>
  <c r="Q310" i="3"/>
  <c r="Q311" i="3"/>
  <c r="Q312" i="3"/>
  <c r="Q313" i="3"/>
  <c r="Q314" i="3"/>
  <c r="Q315" i="3"/>
  <c r="Q316" i="3"/>
  <c r="Q317" i="3"/>
  <c r="Q318" i="3"/>
  <c r="Q319" i="3"/>
  <c r="Q320" i="3"/>
  <c r="Q321" i="3"/>
  <c r="Q322" i="3"/>
  <c r="Q323" i="3"/>
  <c r="Q324" i="3"/>
  <c r="Q325" i="3"/>
  <c r="Q326" i="3"/>
  <c r="Q327" i="3"/>
  <c r="Q328" i="3"/>
  <c r="Q329" i="3"/>
  <c r="Q330" i="3"/>
  <c r="Q331" i="3"/>
  <c r="Q332" i="3"/>
  <c r="Q333" i="3"/>
  <c r="Q334" i="3"/>
  <c r="Q335" i="3"/>
  <c r="Q336" i="3"/>
  <c r="Q337" i="3"/>
  <c r="Q338" i="3"/>
  <c r="Q339" i="3"/>
  <c r="Q340" i="3"/>
  <c r="Q341" i="3"/>
  <c r="Q342" i="3"/>
  <c r="Q343" i="3"/>
  <c r="Q344" i="3"/>
  <c r="Q345" i="3"/>
  <c r="Q346" i="3"/>
  <c r="Q347" i="3"/>
  <c r="Q348" i="3"/>
  <c r="Q349" i="3"/>
  <c r="Q350" i="3"/>
  <c r="Q351" i="3"/>
  <c r="Q352" i="3"/>
  <c r="Q3"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P234" i="3"/>
  <c r="P235" i="3"/>
  <c r="P236" i="3"/>
  <c r="P237" i="3"/>
  <c r="P238" i="3"/>
  <c r="P239" i="3"/>
  <c r="P240" i="3"/>
  <c r="P241" i="3"/>
  <c r="P242" i="3"/>
  <c r="P243" i="3"/>
  <c r="P244" i="3"/>
  <c r="P245" i="3"/>
  <c r="P246" i="3"/>
  <c r="P247" i="3"/>
  <c r="P248" i="3"/>
  <c r="P249" i="3"/>
  <c r="P250" i="3"/>
  <c r="P251" i="3"/>
  <c r="P252" i="3"/>
  <c r="P253" i="3"/>
  <c r="P254" i="3"/>
  <c r="P255" i="3"/>
  <c r="P256" i="3"/>
  <c r="P257" i="3"/>
  <c r="P258" i="3"/>
  <c r="P259" i="3"/>
  <c r="P260" i="3"/>
  <c r="P261" i="3"/>
  <c r="P262" i="3"/>
  <c r="P263" i="3"/>
  <c r="P264" i="3"/>
  <c r="P265" i="3"/>
  <c r="P266" i="3"/>
  <c r="P267" i="3"/>
  <c r="P268" i="3"/>
  <c r="P269" i="3"/>
  <c r="P270" i="3"/>
  <c r="P271" i="3"/>
  <c r="P272" i="3"/>
  <c r="P273" i="3"/>
  <c r="P274" i="3"/>
  <c r="P275" i="3"/>
  <c r="P276" i="3"/>
  <c r="P277" i="3"/>
  <c r="P278" i="3"/>
  <c r="P279" i="3"/>
  <c r="P280" i="3"/>
  <c r="P281" i="3"/>
  <c r="P282" i="3"/>
  <c r="P283" i="3"/>
  <c r="P284" i="3"/>
  <c r="P285" i="3"/>
  <c r="P286" i="3"/>
  <c r="P287" i="3"/>
  <c r="P288" i="3"/>
  <c r="P289" i="3"/>
  <c r="P290" i="3"/>
  <c r="P291" i="3"/>
  <c r="P292" i="3"/>
  <c r="P293" i="3"/>
  <c r="P294" i="3"/>
  <c r="P295" i="3"/>
  <c r="P296" i="3"/>
  <c r="P297" i="3"/>
  <c r="P298" i="3"/>
  <c r="P299" i="3"/>
  <c r="P300" i="3"/>
  <c r="P301" i="3"/>
  <c r="P302" i="3"/>
  <c r="P303" i="3"/>
  <c r="P304" i="3"/>
  <c r="P305" i="3"/>
  <c r="P306" i="3"/>
  <c r="P307" i="3"/>
  <c r="P308" i="3"/>
  <c r="P309" i="3"/>
  <c r="P310" i="3"/>
  <c r="P311" i="3"/>
  <c r="P312" i="3"/>
  <c r="P313" i="3"/>
  <c r="P314" i="3"/>
  <c r="P315" i="3"/>
  <c r="P316" i="3"/>
  <c r="P317" i="3"/>
  <c r="P318" i="3"/>
  <c r="P319" i="3"/>
  <c r="P320" i="3"/>
  <c r="P321" i="3"/>
  <c r="P322" i="3"/>
  <c r="P323" i="3"/>
  <c r="P324" i="3"/>
  <c r="P325" i="3"/>
  <c r="P326" i="3"/>
  <c r="P327" i="3"/>
  <c r="P328" i="3"/>
  <c r="P329" i="3"/>
  <c r="P330" i="3"/>
  <c r="P331" i="3"/>
  <c r="P332" i="3"/>
  <c r="P333" i="3"/>
  <c r="P334" i="3"/>
  <c r="P335" i="3"/>
  <c r="P336" i="3"/>
  <c r="P337" i="3"/>
  <c r="P338" i="3"/>
  <c r="P339" i="3"/>
  <c r="P340" i="3"/>
  <c r="P341" i="3"/>
  <c r="P342" i="3"/>
  <c r="P343" i="3"/>
  <c r="P344" i="3"/>
  <c r="P345" i="3"/>
  <c r="P346" i="3"/>
  <c r="P347" i="3"/>
  <c r="P348" i="3"/>
  <c r="P349" i="3"/>
  <c r="P350" i="3"/>
  <c r="P351" i="3"/>
  <c r="P352" i="3"/>
  <c r="P134"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O84" i="3"/>
  <c r="O85" i="3"/>
  <c r="O86" i="3"/>
  <c r="O87" i="3"/>
  <c r="O88" i="3"/>
  <c r="O89" i="3"/>
  <c r="O90" i="3"/>
  <c r="O91" i="3"/>
  <c r="O92" i="3"/>
  <c r="O93" i="3"/>
  <c r="O94" i="3"/>
  <c r="O95" i="3"/>
  <c r="O96" i="3"/>
  <c r="O97" i="3"/>
  <c r="O98" i="3"/>
  <c r="O99" i="3"/>
  <c r="O100" i="3"/>
  <c r="O101" i="3"/>
  <c r="O102" i="3"/>
  <c r="O103" i="3"/>
  <c r="O104" i="3"/>
  <c r="O105" i="3"/>
  <c r="O106" i="3"/>
  <c r="O107" i="3"/>
  <c r="O108" i="3"/>
  <c r="O109" i="3"/>
  <c r="O110" i="3"/>
  <c r="O111" i="3"/>
  <c r="O112" i="3"/>
  <c r="O113" i="3"/>
  <c r="O114" i="3"/>
  <c r="O115" i="3"/>
  <c r="O116" i="3"/>
  <c r="O117" i="3"/>
  <c r="O118" i="3"/>
  <c r="O119" i="3"/>
  <c r="O120" i="3"/>
  <c r="O121" i="3"/>
  <c r="O122" i="3"/>
  <c r="O123" i="3"/>
  <c r="O124" i="3"/>
  <c r="O125" i="3"/>
  <c r="O126" i="3"/>
  <c r="O127" i="3"/>
  <c r="O128" i="3"/>
  <c r="O129" i="3"/>
  <c r="O130" i="3"/>
  <c r="O131" i="3"/>
  <c r="O132" i="3"/>
  <c r="O133" i="3"/>
  <c r="O134" i="3"/>
  <c r="O135" i="3"/>
  <c r="O136" i="3"/>
  <c r="O137" i="3"/>
  <c r="O138" i="3"/>
  <c r="O139" i="3"/>
  <c r="O140" i="3"/>
  <c r="O141" i="3"/>
  <c r="O142" i="3"/>
  <c r="O143" i="3"/>
  <c r="O144" i="3"/>
  <c r="O145" i="3"/>
  <c r="O146" i="3"/>
  <c r="O147" i="3"/>
  <c r="O148" i="3"/>
  <c r="O149" i="3"/>
  <c r="O150" i="3"/>
  <c r="O151" i="3"/>
  <c r="O152" i="3"/>
  <c r="O153" i="3"/>
  <c r="O154" i="3"/>
  <c r="O155" i="3"/>
  <c r="O156" i="3"/>
  <c r="O157" i="3"/>
  <c r="O158" i="3"/>
  <c r="O159" i="3"/>
  <c r="O160" i="3"/>
  <c r="O161" i="3"/>
  <c r="O162" i="3"/>
  <c r="O163" i="3"/>
  <c r="O164" i="3"/>
  <c r="O165" i="3"/>
  <c r="O166" i="3"/>
  <c r="O167" i="3"/>
  <c r="O168" i="3"/>
  <c r="O169" i="3"/>
  <c r="O170" i="3"/>
  <c r="O171" i="3"/>
  <c r="O172" i="3"/>
  <c r="O173" i="3"/>
  <c r="O174" i="3"/>
  <c r="O175" i="3"/>
  <c r="O176" i="3"/>
  <c r="O177" i="3"/>
  <c r="O178" i="3"/>
  <c r="O179" i="3"/>
  <c r="O180" i="3"/>
  <c r="O181" i="3"/>
  <c r="O182" i="3"/>
  <c r="O183" i="3"/>
  <c r="O184" i="3"/>
  <c r="O185" i="3"/>
  <c r="O186" i="3"/>
  <c r="O187" i="3"/>
  <c r="O188" i="3"/>
  <c r="O189" i="3"/>
  <c r="O190" i="3"/>
  <c r="O191" i="3"/>
  <c r="O192" i="3"/>
  <c r="O193" i="3"/>
  <c r="O194" i="3"/>
  <c r="O195" i="3"/>
  <c r="O196" i="3"/>
  <c r="O197" i="3"/>
  <c r="O198" i="3"/>
  <c r="O199" i="3"/>
  <c r="O200" i="3"/>
  <c r="O201" i="3"/>
  <c r="O202" i="3"/>
  <c r="O203" i="3"/>
  <c r="O204" i="3"/>
  <c r="O205" i="3"/>
  <c r="O206" i="3"/>
  <c r="O207" i="3"/>
  <c r="O208" i="3"/>
  <c r="O209" i="3"/>
  <c r="O210" i="3"/>
  <c r="O211" i="3"/>
  <c r="O212" i="3"/>
  <c r="O213" i="3"/>
  <c r="O214" i="3"/>
  <c r="O215" i="3"/>
  <c r="O216" i="3"/>
  <c r="O217" i="3"/>
  <c r="O218" i="3"/>
  <c r="O219" i="3"/>
  <c r="O220" i="3"/>
  <c r="O221" i="3"/>
  <c r="O222" i="3"/>
  <c r="O223" i="3"/>
  <c r="O224" i="3"/>
  <c r="O225" i="3"/>
  <c r="O226" i="3"/>
  <c r="O227" i="3"/>
  <c r="O228" i="3"/>
  <c r="O229" i="3"/>
  <c r="O230" i="3"/>
  <c r="O231" i="3"/>
  <c r="O232" i="3"/>
  <c r="O233" i="3"/>
  <c r="O234" i="3"/>
  <c r="O235" i="3"/>
  <c r="O236" i="3"/>
  <c r="O237" i="3"/>
  <c r="O238" i="3"/>
  <c r="O239" i="3"/>
  <c r="O240" i="3"/>
  <c r="O241" i="3"/>
  <c r="O242" i="3"/>
  <c r="O243" i="3"/>
  <c r="O244" i="3"/>
  <c r="O245" i="3"/>
  <c r="O246" i="3"/>
  <c r="O247" i="3"/>
  <c r="O248" i="3"/>
  <c r="O249" i="3"/>
  <c r="O250" i="3"/>
  <c r="O251" i="3"/>
  <c r="O252" i="3"/>
  <c r="O253" i="3"/>
  <c r="O254" i="3"/>
  <c r="O255" i="3"/>
  <c r="O256" i="3"/>
  <c r="O257" i="3"/>
  <c r="O258" i="3"/>
  <c r="O259" i="3"/>
  <c r="O260" i="3"/>
  <c r="O261" i="3"/>
  <c r="O262" i="3"/>
  <c r="O263" i="3"/>
  <c r="O264" i="3"/>
  <c r="O265" i="3"/>
  <c r="O266" i="3"/>
  <c r="O267" i="3"/>
  <c r="O268" i="3"/>
  <c r="O269" i="3"/>
  <c r="O270" i="3"/>
  <c r="O271" i="3"/>
  <c r="O272" i="3"/>
  <c r="O273" i="3"/>
  <c r="O274" i="3"/>
  <c r="O275" i="3"/>
  <c r="O276" i="3"/>
  <c r="O277" i="3"/>
  <c r="O278" i="3"/>
  <c r="O279" i="3"/>
  <c r="O280" i="3"/>
  <c r="O281" i="3"/>
  <c r="O282" i="3"/>
  <c r="O283" i="3"/>
  <c r="O284" i="3"/>
  <c r="O285" i="3"/>
  <c r="O286" i="3"/>
  <c r="O287" i="3"/>
  <c r="O288" i="3"/>
  <c r="O289" i="3"/>
  <c r="O290" i="3"/>
  <c r="O291" i="3"/>
  <c r="O292" i="3"/>
  <c r="O293" i="3"/>
  <c r="O294" i="3"/>
  <c r="O295" i="3"/>
  <c r="O296" i="3"/>
  <c r="O297" i="3"/>
  <c r="O298" i="3"/>
  <c r="O299" i="3"/>
  <c r="O300" i="3"/>
  <c r="O301" i="3"/>
  <c r="O302" i="3"/>
  <c r="O303" i="3"/>
  <c r="O304" i="3"/>
  <c r="O305" i="3"/>
  <c r="O306" i="3"/>
  <c r="O307" i="3"/>
  <c r="O308" i="3"/>
  <c r="O309" i="3"/>
  <c r="O310" i="3"/>
  <c r="O311" i="3"/>
  <c r="O312" i="3"/>
  <c r="O313" i="3"/>
  <c r="O314" i="3"/>
  <c r="O315" i="3"/>
  <c r="O316" i="3"/>
  <c r="O317" i="3"/>
  <c r="O318" i="3"/>
  <c r="O319" i="3"/>
  <c r="O320" i="3"/>
  <c r="O321" i="3"/>
  <c r="O322" i="3"/>
  <c r="O323" i="3"/>
  <c r="O324" i="3"/>
  <c r="O325" i="3"/>
  <c r="O326" i="3"/>
  <c r="O327" i="3"/>
  <c r="O328" i="3"/>
  <c r="O329" i="3"/>
  <c r="O330" i="3"/>
  <c r="O331" i="3"/>
  <c r="O332" i="3"/>
  <c r="O333" i="3"/>
  <c r="O334" i="3"/>
  <c r="O335" i="3"/>
  <c r="O336" i="3"/>
  <c r="O337" i="3"/>
  <c r="O338" i="3"/>
  <c r="O339" i="3"/>
  <c r="O340" i="3"/>
  <c r="O341" i="3"/>
  <c r="O342" i="3"/>
  <c r="O343" i="3"/>
  <c r="O344" i="3"/>
  <c r="O345" i="3"/>
  <c r="O346" i="3"/>
  <c r="O347" i="3"/>
  <c r="O348" i="3"/>
  <c r="O349" i="3"/>
  <c r="O350" i="3"/>
  <c r="O351" i="3"/>
  <c r="O352" i="3"/>
  <c r="O3" i="3"/>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 i="3"/>
  <c r="M4" i="3"/>
  <c r="M5"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M97" i="3"/>
  <c r="M98" i="3"/>
  <c r="M99" i="3"/>
  <c r="M100" i="3"/>
  <c r="M101" i="3"/>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225" i="3"/>
  <c r="M226" i="3"/>
  <c r="M227" i="3"/>
  <c r="M228" i="3"/>
  <c r="M229" i="3"/>
  <c r="M230" i="3"/>
  <c r="M231" i="3"/>
  <c r="M232" i="3"/>
  <c r="M233" i="3"/>
  <c r="M234" i="3"/>
  <c r="M235" i="3"/>
  <c r="M236" i="3"/>
  <c r="M237" i="3"/>
  <c r="M238" i="3"/>
  <c r="M239" i="3"/>
  <c r="M240" i="3"/>
  <c r="M241" i="3"/>
  <c r="M242" i="3"/>
  <c r="M243" i="3"/>
  <c r="M244" i="3"/>
  <c r="M245" i="3"/>
  <c r="M246" i="3"/>
  <c r="M247" i="3"/>
  <c r="M248" i="3"/>
  <c r="M249" i="3"/>
  <c r="M250" i="3"/>
  <c r="M251" i="3"/>
  <c r="M252" i="3"/>
  <c r="M253" i="3"/>
  <c r="M254" i="3"/>
  <c r="M255" i="3"/>
  <c r="M256" i="3"/>
  <c r="M257" i="3"/>
  <c r="M258" i="3"/>
  <c r="M259" i="3"/>
  <c r="M260" i="3"/>
  <c r="M261" i="3"/>
  <c r="M262" i="3"/>
  <c r="M263" i="3"/>
  <c r="M264" i="3"/>
  <c r="M265" i="3"/>
  <c r="M266" i="3"/>
  <c r="M267" i="3"/>
  <c r="M268" i="3"/>
  <c r="M269" i="3"/>
  <c r="M270" i="3"/>
  <c r="M271" i="3"/>
  <c r="M272" i="3"/>
  <c r="M273" i="3"/>
  <c r="M274" i="3"/>
  <c r="M275" i="3"/>
  <c r="M276" i="3"/>
  <c r="M277" i="3"/>
  <c r="M278" i="3"/>
  <c r="M279" i="3"/>
  <c r="M280" i="3"/>
  <c r="M281" i="3"/>
  <c r="M282" i="3"/>
  <c r="M283" i="3"/>
  <c r="M284" i="3"/>
  <c r="M285" i="3"/>
  <c r="M286" i="3"/>
  <c r="M287" i="3"/>
  <c r="M288" i="3"/>
  <c r="M289" i="3"/>
  <c r="M290" i="3"/>
  <c r="M291" i="3"/>
  <c r="M292" i="3"/>
  <c r="M293" i="3"/>
  <c r="M294" i="3"/>
  <c r="M295" i="3"/>
  <c r="M296" i="3"/>
  <c r="M297" i="3"/>
  <c r="M298" i="3"/>
  <c r="M299" i="3"/>
  <c r="M300" i="3"/>
  <c r="M301" i="3"/>
  <c r="M302" i="3"/>
  <c r="M303" i="3"/>
  <c r="M304" i="3"/>
  <c r="M305" i="3"/>
  <c r="M306" i="3"/>
  <c r="M307" i="3"/>
  <c r="M308" i="3"/>
  <c r="M309" i="3"/>
  <c r="M310" i="3"/>
  <c r="M311" i="3"/>
  <c r="M312" i="3"/>
  <c r="M313" i="3"/>
  <c r="M314" i="3"/>
  <c r="M315" i="3"/>
  <c r="M316" i="3"/>
  <c r="M317" i="3"/>
  <c r="M318" i="3"/>
  <c r="M319" i="3"/>
  <c r="M320" i="3"/>
  <c r="M321" i="3"/>
  <c r="M322" i="3"/>
  <c r="M323" i="3"/>
  <c r="M324" i="3"/>
  <c r="M325" i="3"/>
  <c r="M326" i="3"/>
  <c r="M327" i="3"/>
  <c r="M328" i="3"/>
  <c r="M329" i="3"/>
  <c r="M330" i="3"/>
  <c r="M331" i="3"/>
  <c r="M332" i="3"/>
  <c r="M333" i="3"/>
  <c r="M334" i="3"/>
  <c r="M335" i="3"/>
  <c r="M336" i="3"/>
  <c r="M337" i="3"/>
  <c r="M338" i="3"/>
  <c r="M339" i="3"/>
  <c r="M340" i="3"/>
  <c r="M341" i="3"/>
  <c r="M342" i="3"/>
  <c r="M343" i="3"/>
  <c r="M344" i="3"/>
  <c r="M345" i="3"/>
  <c r="M346" i="3"/>
  <c r="M347" i="3"/>
  <c r="M348" i="3"/>
  <c r="M349" i="3"/>
  <c r="M350" i="3"/>
  <c r="M351" i="3"/>
  <c r="M352" i="3"/>
  <c r="K4" i="3"/>
  <c r="K5" i="3"/>
  <c r="K6" i="3"/>
  <c r="K7"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208" i="3"/>
  <c r="K209" i="3"/>
  <c r="K210" i="3"/>
  <c r="K211" i="3"/>
  <c r="K212" i="3"/>
  <c r="K213" i="3"/>
  <c r="K214" i="3"/>
  <c r="K215" i="3"/>
  <c r="K216" i="3"/>
  <c r="K217" i="3"/>
  <c r="K218" i="3"/>
  <c r="K219" i="3"/>
  <c r="K220" i="3"/>
  <c r="K221" i="3"/>
  <c r="K222" i="3"/>
  <c r="K223" i="3"/>
  <c r="K224" i="3"/>
  <c r="K225" i="3"/>
  <c r="K226" i="3"/>
  <c r="K227" i="3"/>
  <c r="K228" i="3"/>
  <c r="K229" i="3"/>
  <c r="K230" i="3"/>
  <c r="K231" i="3"/>
  <c r="K232" i="3"/>
  <c r="K233" i="3"/>
  <c r="K234" i="3"/>
  <c r="K235" i="3"/>
  <c r="K236" i="3"/>
  <c r="K237" i="3"/>
  <c r="K238" i="3"/>
  <c r="K239" i="3"/>
  <c r="K240" i="3"/>
  <c r="K241" i="3"/>
  <c r="K242" i="3"/>
  <c r="K243" i="3"/>
  <c r="K244" i="3"/>
  <c r="K245" i="3"/>
  <c r="K246" i="3"/>
  <c r="K247" i="3"/>
  <c r="K248" i="3"/>
  <c r="K249" i="3"/>
  <c r="K250" i="3"/>
  <c r="K251" i="3"/>
  <c r="K252" i="3"/>
  <c r="K253" i="3"/>
  <c r="K254" i="3"/>
  <c r="K255" i="3"/>
  <c r="K256" i="3"/>
  <c r="K257" i="3"/>
  <c r="K258" i="3"/>
  <c r="K259" i="3"/>
  <c r="K260" i="3"/>
  <c r="K261" i="3"/>
  <c r="K262" i="3"/>
  <c r="K263" i="3"/>
  <c r="K264" i="3"/>
  <c r="K265" i="3"/>
  <c r="K266" i="3"/>
  <c r="K267" i="3"/>
  <c r="K268" i="3"/>
  <c r="K269" i="3"/>
  <c r="K270" i="3"/>
  <c r="K271" i="3"/>
  <c r="K272" i="3"/>
  <c r="K273" i="3"/>
  <c r="K274" i="3"/>
  <c r="K275" i="3"/>
  <c r="K276" i="3"/>
  <c r="K277" i="3"/>
  <c r="K278" i="3"/>
  <c r="K279" i="3"/>
  <c r="K280" i="3"/>
  <c r="K281" i="3"/>
  <c r="K282" i="3"/>
  <c r="K283" i="3"/>
  <c r="K284" i="3"/>
  <c r="K285" i="3"/>
  <c r="K286" i="3"/>
  <c r="K287" i="3"/>
  <c r="K288" i="3"/>
  <c r="K289" i="3"/>
  <c r="K290" i="3"/>
  <c r="K291" i="3"/>
  <c r="K292" i="3"/>
  <c r="K293" i="3"/>
  <c r="K294" i="3"/>
  <c r="K295" i="3"/>
  <c r="K296" i="3"/>
  <c r="K297" i="3"/>
  <c r="K298" i="3"/>
  <c r="K299" i="3"/>
  <c r="K300" i="3"/>
  <c r="K301" i="3"/>
  <c r="K302" i="3"/>
  <c r="K303" i="3"/>
  <c r="K304" i="3"/>
  <c r="K305" i="3"/>
  <c r="K306" i="3"/>
  <c r="K307" i="3"/>
  <c r="K308" i="3"/>
  <c r="K309" i="3"/>
  <c r="K310" i="3"/>
  <c r="K311" i="3"/>
  <c r="K312" i="3"/>
  <c r="K313" i="3"/>
  <c r="K314" i="3"/>
  <c r="K315" i="3"/>
  <c r="K316" i="3"/>
  <c r="K317" i="3"/>
  <c r="K318" i="3"/>
  <c r="K319" i="3"/>
  <c r="K320" i="3"/>
  <c r="K321" i="3"/>
  <c r="K322" i="3"/>
  <c r="K323" i="3"/>
  <c r="K324" i="3"/>
  <c r="K325" i="3"/>
  <c r="K326" i="3"/>
  <c r="K327" i="3"/>
  <c r="K328" i="3"/>
  <c r="K329" i="3"/>
  <c r="K330" i="3"/>
  <c r="K331" i="3"/>
  <c r="K332" i="3"/>
  <c r="K333" i="3"/>
  <c r="K334" i="3"/>
  <c r="K335" i="3"/>
  <c r="K336" i="3"/>
  <c r="K337" i="3"/>
  <c r="K338" i="3"/>
  <c r="K339" i="3"/>
  <c r="K340" i="3"/>
  <c r="K341" i="3"/>
  <c r="K342" i="3"/>
  <c r="K343" i="3"/>
  <c r="K344" i="3"/>
  <c r="K345" i="3"/>
  <c r="K346" i="3"/>
  <c r="K347" i="3"/>
  <c r="K348" i="3"/>
  <c r="K349" i="3"/>
  <c r="K350" i="3"/>
  <c r="K351" i="3"/>
  <c r="K352" i="3"/>
  <c r="K3" i="3"/>
  <c r="J4" i="3"/>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 i="3"/>
  <c r="I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I273" i="3"/>
  <c r="I274" i="3"/>
  <c r="I275" i="3"/>
  <c r="I276" i="3"/>
  <c r="I277" i="3"/>
  <c r="I278" i="3"/>
  <c r="I279" i="3"/>
  <c r="I280" i="3"/>
  <c r="I281" i="3"/>
  <c r="I282" i="3"/>
  <c r="I283" i="3"/>
  <c r="I284" i="3"/>
  <c r="I285" i="3"/>
  <c r="I286" i="3"/>
  <c r="I287" i="3"/>
  <c r="I288" i="3"/>
  <c r="I289" i="3"/>
  <c r="I290" i="3"/>
  <c r="I291" i="3"/>
  <c r="I292" i="3"/>
  <c r="I293" i="3"/>
  <c r="I294" i="3"/>
  <c r="I295" i="3"/>
  <c r="I296" i="3"/>
  <c r="I297" i="3"/>
  <c r="I298" i="3"/>
  <c r="I299" i="3"/>
  <c r="I300" i="3"/>
  <c r="I301" i="3"/>
  <c r="I302" i="3"/>
  <c r="I303" i="3"/>
  <c r="I304" i="3"/>
  <c r="I305" i="3"/>
  <c r="I306" i="3"/>
  <c r="I307" i="3"/>
  <c r="I308" i="3"/>
  <c r="I309" i="3"/>
  <c r="I310" i="3"/>
  <c r="I311" i="3"/>
  <c r="I312" i="3"/>
  <c r="I313" i="3"/>
  <c r="I314" i="3"/>
  <c r="I315" i="3"/>
  <c r="I316" i="3"/>
  <c r="I317" i="3"/>
  <c r="I318" i="3"/>
  <c r="I319" i="3"/>
  <c r="I320" i="3"/>
  <c r="I321" i="3"/>
  <c r="I322" i="3"/>
  <c r="I323" i="3"/>
  <c r="I324" i="3"/>
  <c r="I325" i="3"/>
  <c r="I326" i="3"/>
  <c r="I327" i="3"/>
  <c r="I328" i="3"/>
  <c r="I329" i="3"/>
  <c r="I330" i="3"/>
  <c r="I331" i="3"/>
  <c r="I332" i="3"/>
  <c r="I333" i="3"/>
  <c r="I334" i="3"/>
  <c r="I335" i="3"/>
  <c r="I336" i="3"/>
  <c r="I337" i="3"/>
  <c r="I338" i="3"/>
  <c r="I339" i="3"/>
  <c r="I340" i="3"/>
  <c r="I341" i="3"/>
  <c r="I342" i="3"/>
  <c r="I343" i="3"/>
  <c r="I344" i="3"/>
  <c r="I345" i="3"/>
  <c r="I346" i="3"/>
  <c r="I347" i="3"/>
  <c r="I348" i="3"/>
  <c r="I349" i="3"/>
  <c r="I350" i="3"/>
  <c r="I351" i="3"/>
  <c r="I352" i="3"/>
  <c r="I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F237" i="3"/>
  <c r="F238" i="3"/>
  <c r="F239" i="3"/>
  <c r="F240" i="3"/>
  <c r="F241" i="3"/>
  <c r="F242" i="3"/>
  <c r="F243" i="3"/>
  <c r="F244" i="3"/>
  <c r="F245" i="3"/>
  <c r="F246" i="3"/>
  <c r="F247" i="3"/>
  <c r="F248" i="3"/>
  <c r="F249" i="3"/>
  <c r="F250" i="3"/>
  <c r="F251" i="3"/>
  <c r="F252" i="3"/>
  <c r="F253" i="3"/>
  <c r="F254" i="3"/>
  <c r="F255" i="3"/>
  <c r="F256" i="3"/>
  <c r="F257" i="3"/>
  <c r="F258" i="3"/>
  <c r="F259" i="3"/>
  <c r="F260" i="3"/>
  <c r="F261" i="3"/>
  <c r="F262" i="3"/>
  <c r="F263" i="3"/>
  <c r="F264" i="3"/>
  <c r="F265" i="3"/>
  <c r="F266" i="3"/>
  <c r="F267" i="3"/>
  <c r="F268" i="3"/>
  <c r="F269" i="3"/>
  <c r="F270" i="3"/>
  <c r="F271" i="3"/>
  <c r="F272" i="3"/>
  <c r="F273" i="3"/>
  <c r="F274" i="3"/>
  <c r="F275" i="3"/>
  <c r="F276" i="3"/>
  <c r="F277" i="3"/>
  <c r="F278" i="3"/>
  <c r="F279" i="3"/>
  <c r="F280" i="3"/>
  <c r="F281" i="3"/>
  <c r="F282" i="3"/>
  <c r="F283" i="3"/>
  <c r="F284" i="3"/>
  <c r="F285" i="3"/>
  <c r="F286" i="3"/>
  <c r="F287" i="3"/>
  <c r="F288" i="3"/>
  <c r="F289" i="3"/>
  <c r="F290" i="3"/>
  <c r="F291" i="3"/>
  <c r="F292" i="3"/>
  <c r="F293" i="3"/>
  <c r="F294" i="3"/>
  <c r="F295" i="3"/>
  <c r="F296" i="3"/>
  <c r="F297" i="3"/>
  <c r="F298" i="3"/>
  <c r="F299" i="3"/>
  <c r="F300" i="3"/>
  <c r="F301" i="3"/>
  <c r="F302" i="3"/>
  <c r="F303" i="3"/>
  <c r="F304" i="3"/>
  <c r="F305" i="3"/>
  <c r="F306" i="3"/>
  <c r="F307" i="3"/>
  <c r="F308" i="3"/>
  <c r="F309" i="3"/>
  <c r="F310" i="3"/>
  <c r="F311" i="3"/>
  <c r="F312" i="3"/>
  <c r="F313" i="3"/>
  <c r="F314" i="3"/>
  <c r="F315" i="3"/>
  <c r="F316" i="3"/>
  <c r="F317" i="3"/>
  <c r="F318" i="3"/>
  <c r="F319" i="3"/>
  <c r="F320" i="3"/>
  <c r="F321" i="3"/>
  <c r="F322" i="3"/>
  <c r="F323" i="3"/>
  <c r="F324" i="3"/>
  <c r="F325" i="3"/>
  <c r="F326" i="3"/>
  <c r="F327" i="3"/>
  <c r="F328" i="3"/>
  <c r="F329" i="3"/>
  <c r="F330" i="3"/>
  <c r="F331" i="3"/>
  <c r="F332" i="3"/>
  <c r="F333" i="3"/>
  <c r="F334" i="3"/>
  <c r="F335" i="3"/>
  <c r="F336" i="3"/>
  <c r="F337" i="3"/>
  <c r="F338" i="3"/>
  <c r="F339" i="3"/>
  <c r="F340" i="3"/>
  <c r="F341" i="3"/>
  <c r="F342" i="3"/>
  <c r="F343" i="3"/>
  <c r="F344" i="3"/>
  <c r="F345" i="3"/>
  <c r="F346" i="3"/>
  <c r="F347" i="3"/>
  <c r="F348" i="3"/>
  <c r="F349" i="3"/>
  <c r="F350" i="3"/>
  <c r="F351" i="3"/>
  <c r="F352" i="3"/>
  <c r="F3" i="3"/>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E142" i="3"/>
  <c r="E143" i="3"/>
  <c r="E144" i="3"/>
  <c r="E145" i="3"/>
  <c r="E146" i="3"/>
  <c r="E147" i="3"/>
  <c r="E148" i="3"/>
  <c r="E149" i="3"/>
  <c r="E150" i="3"/>
  <c r="E151" i="3"/>
  <c r="E152" i="3"/>
  <c r="E153" i="3"/>
  <c r="E154" i="3"/>
  <c r="E155" i="3"/>
  <c r="E156" i="3"/>
  <c r="E157" i="3"/>
  <c r="E158" i="3"/>
  <c r="E159" i="3"/>
  <c r="E160" i="3"/>
  <c r="E161" i="3"/>
  <c r="E162" i="3"/>
  <c r="E163" i="3"/>
  <c r="E164" i="3"/>
  <c r="E165" i="3"/>
  <c r="E166" i="3"/>
  <c r="E167" i="3"/>
  <c r="E168" i="3"/>
  <c r="E169" i="3"/>
  <c r="E170" i="3"/>
  <c r="E171" i="3"/>
  <c r="E172" i="3"/>
  <c r="E173" i="3"/>
  <c r="E174" i="3"/>
  <c r="E175" i="3"/>
  <c r="E176" i="3"/>
  <c r="E177" i="3"/>
  <c r="E178" i="3"/>
  <c r="E179" i="3"/>
  <c r="E180" i="3"/>
  <c r="E181" i="3"/>
  <c r="E182" i="3"/>
  <c r="E183" i="3"/>
  <c r="E184" i="3"/>
  <c r="E185" i="3"/>
  <c r="E186" i="3"/>
  <c r="E187" i="3"/>
  <c r="E188" i="3"/>
  <c r="E189" i="3"/>
  <c r="E190" i="3"/>
  <c r="E191" i="3"/>
  <c r="E192" i="3"/>
  <c r="E193" i="3"/>
  <c r="E194" i="3"/>
  <c r="E195" i="3"/>
  <c r="E196" i="3"/>
  <c r="E197" i="3"/>
  <c r="E198" i="3"/>
  <c r="E199" i="3"/>
  <c r="E200" i="3"/>
  <c r="E201" i="3"/>
  <c r="E202" i="3"/>
  <c r="E203" i="3"/>
  <c r="E204" i="3"/>
  <c r="E205" i="3"/>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E312" i="3"/>
  <c r="E313" i="3"/>
  <c r="E314" i="3"/>
  <c r="E315" i="3"/>
  <c r="E316" i="3"/>
  <c r="E317" i="3"/>
  <c r="E318" i="3"/>
  <c r="E319" i="3"/>
  <c r="E320" i="3"/>
  <c r="E321" i="3"/>
  <c r="E322" i="3"/>
  <c r="E323" i="3"/>
  <c r="E324" i="3"/>
  <c r="E325" i="3"/>
  <c r="E326" i="3"/>
  <c r="E327" i="3"/>
  <c r="E328" i="3"/>
  <c r="E329" i="3"/>
  <c r="E330" i="3"/>
  <c r="E331" i="3"/>
  <c r="E332" i="3"/>
  <c r="E333" i="3"/>
  <c r="E334" i="3"/>
  <c r="E335" i="3"/>
  <c r="E336" i="3"/>
  <c r="E337" i="3"/>
  <c r="E338" i="3"/>
  <c r="E339" i="3"/>
  <c r="E340" i="3"/>
  <c r="E341" i="3"/>
  <c r="E342" i="3"/>
  <c r="E343" i="3"/>
  <c r="E344" i="3"/>
  <c r="E345" i="3"/>
  <c r="E346" i="3"/>
  <c r="E347" i="3"/>
  <c r="E348" i="3"/>
  <c r="E349" i="3"/>
  <c r="E350" i="3"/>
  <c r="E351" i="3"/>
  <c r="E352" i="3"/>
  <c r="E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D273" i="3"/>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3" i="3"/>
  <c r="B144" i="3"/>
  <c r="B145" i="3"/>
  <c r="B146" i="3"/>
  <c r="B147" i="3"/>
  <c r="B148" i="3"/>
  <c r="B149" i="3"/>
  <c r="B150" i="3"/>
  <c r="B151" i="3"/>
  <c r="B152" i="3"/>
  <c r="B153" i="3"/>
  <c r="B154" i="3"/>
  <c r="B155" i="3"/>
  <c r="B156" i="3"/>
  <c r="B157" i="3"/>
  <c r="B158" i="3"/>
  <c r="B159" i="3"/>
  <c r="B160" i="3"/>
  <c r="B161" i="3"/>
  <c r="B162" i="3"/>
  <c r="B163" i="3"/>
  <c r="B164" i="3"/>
  <c r="B165" i="3"/>
  <c r="B166" i="3"/>
  <c r="B167" i="3"/>
  <c r="B168" i="3"/>
  <c r="B169" i="3"/>
  <c r="B170" i="3"/>
  <c r="B171" i="3"/>
  <c r="B172" i="3"/>
  <c r="B173" i="3"/>
  <c r="B174" i="3"/>
  <c r="B175" i="3"/>
  <c r="B176" i="3"/>
  <c r="B177" i="3"/>
  <c r="B178" i="3"/>
  <c r="B179" i="3"/>
  <c r="B180" i="3"/>
  <c r="B181" i="3"/>
  <c r="B182" i="3"/>
  <c r="B183" i="3"/>
  <c r="B184" i="3"/>
  <c r="B185" i="3"/>
  <c r="B186" i="3"/>
  <c r="B187" i="3"/>
  <c r="B188" i="3"/>
  <c r="B189" i="3"/>
  <c r="B190" i="3"/>
  <c r="B191" i="3"/>
  <c r="B192" i="3"/>
  <c r="B193" i="3"/>
  <c r="B194" i="3"/>
  <c r="B195" i="3"/>
  <c r="B196" i="3"/>
  <c r="B197" i="3"/>
  <c r="B198" i="3"/>
  <c r="B199" i="3"/>
  <c r="B200" i="3"/>
  <c r="B201" i="3"/>
  <c r="B202" i="3"/>
  <c r="B203" i="3"/>
  <c r="B204" i="3"/>
  <c r="B205" i="3"/>
  <c r="B206" i="3"/>
  <c r="B207" i="3"/>
  <c r="B208" i="3"/>
  <c r="B209" i="3"/>
  <c r="B210" i="3"/>
  <c r="B211" i="3"/>
  <c r="B212" i="3"/>
  <c r="B213" i="3"/>
  <c r="B214" i="3"/>
  <c r="B215" i="3"/>
  <c r="B216" i="3"/>
  <c r="B217" i="3"/>
  <c r="B218" i="3"/>
  <c r="B219" i="3"/>
  <c r="B220" i="3"/>
  <c r="B221" i="3"/>
  <c r="B222" i="3"/>
  <c r="B223" i="3"/>
  <c r="B224" i="3"/>
  <c r="B225" i="3"/>
  <c r="B226" i="3"/>
  <c r="B227" i="3"/>
  <c r="B228" i="3"/>
  <c r="B229" i="3"/>
  <c r="B230" i="3"/>
  <c r="B231" i="3"/>
  <c r="B232" i="3"/>
  <c r="B233" i="3"/>
  <c r="B234" i="3"/>
  <c r="B235" i="3"/>
  <c r="B236" i="3"/>
  <c r="B237" i="3"/>
  <c r="B238" i="3"/>
  <c r="B239" i="3"/>
  <c r="B240" i="3"/>
  <c r="B241" i="3"/>
  <c r="B242" i="3"/>
  <c r="B243" i="3"/>
  <c r="B244" i="3"/>
  <c r="B245" i="3"/>
  <c r="B246" i="3"/>
  <c r="B247" i="3"/>
  <c r="B248" i="3"/>
  <c r="B249" i="3"/>
  <c r="B250" i="3"/>
  <c r="B251" i="3"/>
  <c r="B252" i="3"/>
  <c r="B253" i="3"/>
  <c r="B254" i="3"/>
  <c r="B255" i="3"/>
  <c r="B256" i="3"/>
  <c r="B257" i="3"/>
  <c r="B258" i="3"/>
  <c r="B259" i="3"/>
  <c r="B260" i="3"/>
  <c r="B261" i="3"/>
  <c r="B262" i="3"/>
  <c r="B263" i="3"/>
  <c r="B264" i="3"/>
  <c r="B265" i="3"/>
  <c r="B266" i="3"/>
  <c r="B267" i="3"/>
  <c r="B268" i="3"/>
  <c r="B269" i="3"/>
  <c r="B270" i="3"/>
  <c r="B271" i="3"/>
  <c r="B272" i="3"/>
  <c r="B273" i="3"/>
  <c r="B274" i="3"/>
  <c r="B275" i="3"/>
  <c r="B276" i="3"/>
  <c r="B277" i="3"/>
  <c r="B278" i="3"/>
  <c r="B279" i="3"/>
  <c r="B280" i="3"/>
  <c r="B281" i="3"/>
  <c r="B282" i="3"/>
  <c r="B283" i="3"/>
  <c r="B284" i="3"/>
  <c r="B285" i="3"/>
  <c r="B286" i="3"/>
  <c r="B287" i="3"/>
  <c r="B288" i="3"/>
  <c r="B289" i="3"/>
  <c r="B290" i="3"/>
  <c r="B291" i="3"/>
  <c r="B292" i="3"/>
  <c r="B293" i="3"/>
  <c r="B294" i="3"/>
  <c r="B295" i="3"/>
  <c r="B296" i="3"/>
  <c r="B297" i="3"/>
  <c r="B298" i="3"/>
  <c r="B299" i="3"/>
  <c r="B300" i="3"/>
  <c r="B301" i="3"/>
  <c r="B302" i="3"/>
  <c r="B303" i="3"/>
  <c r="B304" i="3"/>
  <c r="B305" i="3"/>
  <c r="B306" i="3"/>
  <c r="B307" i="3"/>
  <c r="B308" i="3"/>
  <c r="B309" i="3"/>
  <c r="B310" i="3"/>
  <c r="B311" i="3"/>
  <c r="B312" i="3"/>
  <c r="B313" i="3"/>
  <c r="B314" i="3"/>
  <c r="B315" i="3"/>
  <c r="B316" i="3"/>
  <c r="B317" i="3"/>
  <c r="B318" i="3"/>
  <c r="B319" i="3"/>
  <c r="B320" i="3"/>
  <c r="B321" i="3"/>
  <c r="B322" i="3"/>
  <c r="B323" i="3"/>
  <c r="B324" i="3"/>
  <c r="B325" i="3"/>
  <c r="B326" i="3"/>
  <c r="B327" i="3"/>
  <c r="B328" i="3"/>
  <c r="B329" i="3"/>
  <c r="B330" i="3"/>
  <c r="B331" i="3"/>
  <c r="B332" i="3"/>
  <c r="B333" i="3"/>
  <c r="B334" i="3"/>
  <c r="B335" i="3"/>
  <c r="B336" i="3"/>
  <c r="B337" i="3"/>
  <c r="B338" i="3"/>
  <c r="B339" i="3"/>
  <c r="B340" i="3"/>
  <c r="B341" i="3"/>
  <c r="B342" i="3"/>
  <c r="B343" i="3"/>
  <c r="B344" i="3"/>
  <c r="B345" i="3"/>
  <c r="B346" i="3"/>
  <c r="B347" i="3"/>
  <c r="B348" i="3"/>
  <c r="B349" i="3"/>
  <c r="B350" i="3"/>
  <c r="B351" i="3"/>
  <c r="B352" i="3"/>
  <c r="B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 i="3"/>
  <c r="G9" i="5"/>
  <c r="F7" i="4" l="1"/>
  <c r="C12" i="4"/>
  <c r="N3" i="3"/>
  <c r="N20" i="3"/>
  <c r="N25" i="3"/>
  <c r="N28" i="3"/>
  <c r="N31" i="3"/>
  <c r="N33" i="3"/>
  <c r="N36" i="3"/>
  <c r="N38" i="3"/>
  <c r="N41" i="3"/>
  <c r="N43" i="3"/>
  <c r="N46" i="3"/>
  <c r="N48" i="3"/>
  <c r="N50" i="3"/>
  <c r="N53" i="3"/>
  <c r="N56" i="3"/>
  <c r="N58" i="3"/>
  <c r="N61" i="3"/>
  <c r="N63" i="3"/>
  <c r="N66" i="3"/>
  <c r="N69" i="3"/>
  <c r="N71" i="3"/>
  <c r="N74" i="3"/>
  <c r="N76" i="3"/>
  <c r="N79" i="3"/>
  <c r="N82" i="3"/>
  <c r="N84" i="3"/>
  <c r="N87" i="3"/>
  <c r="N89" i="3"/>
  <c r="N91" i="3"/>
  <c r="N94" i="3"/>
  <c r="N97" i="3"/>
  <c r="N100" i="3"/>
  <c r="N103" i="3"/>
  <c r="N106" i="3"/>
  <c r="N109" i="3"/>
  <c r="N111" i="3"/>
  <c r="N114" i="3"/>
  <c r="N116" i="3"/>
  <c r="N119" i="3"/>
  <c r="N122" i="3"/>
  <c r="N125" i="3"/>
  <c r="N127" i="3"/>
  <c r="N130" i="3"/>
  <c r="N132" i="3"/>
  <c r="N133" i="3"/>
  <c r="N134" i="3"/>
  <c r="N135" i="3"/>
  <c r="N136" i="3"/>
  <c r="N138" i="3"/>
  <c r="N140" i="3"/>
  <c r="N143" i="3"/>
  <c r="N145" i="3"/>
  <c r="N148" i="3"/>
  <c r="N150" i="3"/>
  <c r="N153" i="3"/>
  <c r="N156" i="3"/>
  <c r="N158" i="3"/>
  <c r="N161" i="3"/>
  <c r="N164" i="3"/>
  <c r="N166" i="3"/>
  <c r="N169" i="3"/>
  <c r="N172" i="3"/>
  <c r="N175" i="3"/>
  <c r="N177" i="3"/>
  <c r="N180" i="3"/>
  <c r="N182" i="3"/>
  <c r="N185" i="3"/>
  <c r="N187" i="3"/>
  <c r="N190" i="3"/>
  <c r="N193" i="3"/>
  <c r="N195" i="3"/>
  <c r="N198" i="3"/>
  <c r="N200" i="3"/>
  <c r="N203" i="3"/>
  <c r="N206" i="3"/>
  <c r="N209" i="3"/>
  <c r="N211" i="3"/>
  <c r="N214" i="3"/>
  <c r="N217" i="3"/>
  <c r="N219" i="3"/>
  <c r="N222" i="3"/>
  <c r="N225" i="3"/>
  <c r="N228" i="3"/>
  <c r="N230" i="3"/>
  <c r="N233" i="3"/>
  <c r="N236" i="3"/>
  <c r="N247" i="3"/>
  <c r="N250" i="3"/>
  <c r="N253" i="3"/>
  <c r="N255" i="3"/>
  <c r="N258" i="3"/>
  <c r="N260" i="3"/>
  <c r="N263" i="3"/>
  <c r="N265" i="3"/>
  <c r="N268" i="3"/>
  <c r="N269" i="3"/>
  <c r="N270" i="3"/>
  <c r="N272" i="3"/>
  <c r="N274" i="3"/>
  <c r="N277" i="3"/>
  <c r="N280" i="3"/>
  <c r="N282" i="3"/>
  <c r="N285" i="3"/>
  <c r="N288" i="3"/>
  <c r="N290" i="3"/>
  <c r="N293" i="3"/>
  <c r="N295" i="3"/>
  <c r="N298" i="3"/>
  <c r="N300" i="3"/>
  <c r="N303" i="3"/>
  <c r="N305" i="3"/>
  <c r="N307" i="3"/>
  <c r="N310" i="3"/>
  <c r="N312" i="3"/>
  <c r="N315" i="3"/>
  <c r="N317" i="3"/>
  <c r="N320" i="3"/>
  <c r="N322" i="3"/>
  <c r="N325" i="3"/>
  <c r="N328" i="3"/>
  <c r="N331" i="3"/>
  <c r="N333" i="3"/>
  <c r="N336" i="3"/>
  <c r="N339" i="3"/>
  <c r="N341" i="3"/>
  <c r="N343" i="3"/>
  <c r="N346" i="3"/>
  <c r="N349" i="3"/>
  <c r="N351" i="3"/>
  <c r="N4" i="3"/>
  <c r="N5" i="3"/>
  <c r="N6" i="3"/>
  <c r="N7" i="3"/>
  <c r="N8" i="3"/>
  <c r="N9" i="3"/>
  <c r="N10" i="3"/>
  <c r="N11" i="3"/>
  <c r="N12" i="3"/>
  <c r="N13" i="3"/>
  <c r="N14" i="3"/>
  <c r="N15" i="3"/>
  <c r="N16" i="3"/>
  <c r="N17" i="3"/>
  <c r="N18" i="3"/>
  <c r="N19" i="3"/>
  <c r="N21" i="3"/>
  <c r="N22" i="3"/>
  <c r="N23" i="3"/>
  <c r="N24" i="3"/>
  <c r="N26" i="3"/>
  <c r="N27" i="3"/>
  <c r="N29" i="3"/>
  <c r="N30" i="3"/>
  <c r="N32" i="3"/>
  <c r="N34" i="3"/>
  <c r="N35" i="3"/>
  <c r="N37" i="3"/>
  <c r="N39" i="3"/>
  <c r="N40" i="3"/>
  <c r="N42" i="3"/>
  <c r="N44" i="3"/>
  <c r="N45" i="3"/>
  <c r="N47" i="3"/>
  <c r="N49" i="3"/>
  <c r="N51" i="3"/>
  <c r="N52" i="3"/>
  <c r="N54" i="3"/>
  <c r="N55" i="3"/>
  <c r="N57" i="3"/>
  <c r="N59" i="3"/>
  <c r="N60" i="3"/>
  <c r="N62" i="3"/>
  <c r="N64" i="3"/>
  <c r="N65" i="3"/>
  <c r="N67" i="3"/>
  <c r="N68" i="3"/>
  <c r="N70" i="3"/>
  <c r="N72" i="3"/>
  <c r="N73" i="3"/>
  <c r="N75" i="3"/>
  <c r="N77" i="3"/>
  <c r="N78" i="3"/>
  <c r="N80" i="3"/>
  <c r="N81" i="3"/>
  <c r="N83" i="3"/>
  <c r="N85" i="3"/>
  <c r="N86" i="3"/>
  <c r="N88" i="3"/>
  <c r="N90" i="3"/>
  <c r="N92" i="3"/>
  <c r="N93" i="3"/>
  <c r="N95" i="3"/>
  <c r="N96" i="3"/>
  <c r="N98" i="3"/>
  <c r="N99" i="3"/>
  <c r="N101" i="3"/>
  <c r="N102" i="3"/>
  <c r="N104" i="3"/>
  <c r="N105" i="3"/>
  <c r="N107" i="3"/>
  <c r="N108" i="3"/>
  <c r="N110" i="3"/>
  <c r="N112" i="3"/>
  <c r="N113" i="3"/>
  <c r="N115" i="3"/>
  <c r="N117" i="3"/>
  <c r="N118" i="3"/>
  <c r="N120" i="3"/>
  <c r="N121" i="3"/>
  <c r="N123" i="3"/>
  <c r="N124" i="3"/>
  <c r="N126" i="3"/>
  <c r="N128" i="3"/>
  <c r="N129" i="3"/>
  <c r="N131" i="3"/>
  <c r="N137" i="3"/>
  <c r="N139" i="3"/>
  <c r="N141" i="3"/>
  <c r="N142" i="3"/>
  <c r="N144" i="3"/>
  <c r="N146" i="3"/>
  <c r="N147" i="3"/>
  <c r="N149" i="3"/>
  <c r="N151" i="3"/>
  <c r="N152" i="3"/>
  <c r="N154" i="3"/>
  <c r="N155" i="3"/>
  <c r="N157" i="3"/>
  <c r="N159" i="3"/>
  <c r="N160" i="3"/>
  <c r="N162" i="3"/>
  <c r="N163" i="3"/>
  <c r="N165" i="3"/>
  <c r="N167" i="3"/>
  <c r="N168" i="3"/>
  <c r="N170" i="3"/>
  <c r="N171" i="3"/>
  <c r="N173" i="3"/>
  <c r="N174" i="3"/>
  <c r="N176" i="3"/>
  <c r="N178" i="3"/>
  <c r="N179" i="3"/>
  <c r="N181" i="3"/>
  <c r="N183" i="3"/>
  <c r="N184" i="3"/>
  <c r="N186" i="3"/>
  <c r="N188" i="3"/>
  <c r="N189" i="3"/>
  <c r="N191" i="3"/>
  <c r="N192" i="3"/>
  <c r="N194" i="3"/>
  <c r="N196" i="3"/>
  <c r="N197" i="3"/>
  <c r="N199" i="3"/>
  <c r="N201" i="3"/>
  <c r="N202" i="3"/>
  <c r="N204" i="3"/>
  <c r="N205" i="3"/>
  <c r="N207" i="3"/>
  <c r="N208" i="3"/>
  <c r="N210" i="3"/>
  <c r="N212" i="3"/>
  <c r="N213" i="3"/>
  <c r="N215" i="3"/>
  <c r="N216" i="3"/>
  <c r="N218" i="3"/>
  <c r="N220" i="3"/>
  <c r="N221" i="3"/>
  <c r="N223" i="3"/>
  <c r="N224" i="3"/>
  <c r="N226" i="3"/>
  <c r="N227" i="3"/>
  <c r="N229" i="3"/>
  <c r="N231" i="3"/>
  <c r="N232" i="3"/>
  <c r="N234" i="3"/>
  <c r="N235" i="3"/>
  <c r="N237" i="3"/>
  <c r="N238" i="3"/>
  <c r="N239" i="3"/>
  <c r="N240" i="3"/>
  <c r="N241" i="3"/>
  <c r="N242" i="3"/>
  <c r="N243" i="3"/>
  <c r="N244" i="3"/>
  <c r="N245" i="3"/>
  <c r="N246" i="3"/>
  <c r="N248" i="3"/>
  <c r="N249" i="3"/>
  <c r="N251" i="3"/>
  <c r="N252" i="3"/>
  <c r="N254" i="3"/>
  <c r="N256" i="3"/>
  <c r="N257" i="3"/>
  <c r="N259" i="3"/>
  <c r="N261" i="3"/>
  <c r="N262" i="3"/>
  <c r="N264" i="3"/>
  <c r="N266" i="3"/>
  <c r="N267" i="3"/>
  <c r="N271" i="3"/>
  <c r="N273" i="3"/>
  <c r="N275" i="3"/>
  <c r="N276" i="3"/>
  <c r="N278" i="3"/>
  <c r="N279" i="3"/>
  <c r="N281" i="3"/>
  <c r="N283" i="3"/>
  <c r="N284" i="3"/>
  <c r="N286" i="3"/>
  <c r="N287" i="3"/>
  <c r="N289" i="3"/>
  <c r="N291" i="3"/>
  <c r="N292" i="3"/>
  <c r="N294" i="3"/>
  <c r="N296" i="3"/>
  <c r="N297" i="3"/>
  <c r="N299" i="3"/>
  <c r="N301" i="3"/>
  <c r="N302" i="3"/>
  <c r="N304" i="3"/>
  <c r="N306" i="3"/>
  <c r="N308" i="3"/>
  <c r="N309" i="3"/>
  <c r="N311" i="3"/>
  <c r="N313" i="3"/>
  <c r="N314" i="3"/>
  <c r="N316" i="3"/>
  <c r="N318" i="3"/>
  <c r="N319" i="3"/>
  <c r="N321" i="3"/>
  <c r="N323" i="3"/>
  <c r="N324" i="3"/>
  <c r="N326" i="3"/>
  <c r="N327" i="3"/>
  <c r="N329" i="3"/>
  <c r="N330" i="3"/>
  <c r="N332" i="3"/>
  <c r="N334" i="3"/>
  <c r="N335" i="3"/>
  <c r="N337" i="3"/>
  <c r="N338" i="3"/>
  <c r="N340" i="3"/>
  <c r="N342" i="3"/>
  <c r="N344" i="3"/>
  <c r="N345" i="3"/>
  <c r="N347" i="3"/>
  <c r="N348" i="3"/>
  <c r="N350" i="3"/>
  <c r="N352" i="3"/>
  <c r="C7" i="4"/>
  <c r="O7" i="4"/>
  <c r="I7"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8629828-CB53-4A6C-95AE-42C634A59D4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D1BF6834-4155-4F2A-A8C9-6D74602D8856}" name="WorksheetConnection_✅ Clean Data!$A$2:$R$352" type="102" refreshedVersion="8" minRefreshableVersion="5">
    <extLst>
      <ext xmlns:x15="http://schemas.microsoft.com/office/spreadsheetml/2010/11/main" uri="{DE250136-89BD-433C-8126-D09CA5730AF9}">
        <x15:connection id="Range" autoDelete="1">
          <x15:rangePr sourceName="_xlcn.WorksheetConnection_CleanDataA2R352"/>
        </x15:connection>
      </ext>
    </extLst>
  </connection>
</connections>
</file>

<file path=xl/sharedStrings.xml><?xml version="1.0" encoding="utf-8"?>
<sst xmlns="http://schemas.openxmlformats.org/spreadsheetml/2006/main" count="2997" uniqueCount="897">
  <si>
    <t>👥 EMPLOYEES
350</t>
  </si>
  <si>
    <t>✅ ACTIVE
225</t>
  </si>
  <si>
    <t>🏢 DEPARTMENTS
6</t>
  </si>
  <si>
    <t>📋  WORKBOOK NAVIGATION</t>
  </si>
  <si>
    <t>📂 Raw Data</t>
  </si>
  <si>
    <t>350 rows of original employee records — unclean source data</t>
  </si>
  <si>
    <t>✅ Clean Data</t>
  </si>
  <si>
    <t>Fully cleaned &amp; normalized data using Excel functions</t>
  </si>
  <si>
    <t>📊 Dashboard</t>
  </si>
  <si>
    <t>Visual KPI dashboard with charts and department analysis</t>
  </si>
  <si>
    <t>🔍 Dept Summary</t>
  </si>
  <si>
    <t>Department-wise payroll &amp; performance breakdown</t>
  </si>
  <si>
    <t>📋 Instructions</t>
  </si>
  <si>
    <t>Formula guide, KPI definitions, and usage notes</t>
  </si>
  <si>
    <t>📂  RAW DATA — Employee Performance &amp; Payroll (350 Records) — UNCLEAN SOURCE</t>
  </si>
  <si>
    <t>Employee ID</t>
  </si>
  <si>
    <t>Employee Name</t>
  </si>
  <si>
    <t>Age</t>
  </si>
  <si>
    <t>Gender</t>
  </si>
  <si>
    <t>Department</t>
  </si>
  <si>
    <t>Designation</t>
  </si>
  <si>
    <t>Date of Joining</t>
  </si>
  <si>
    <t>City</t>
  </si>
  <si>
    <t>Basic Salary (₹)</t>
  </si>
  <si>
    <t>HRA (₹)</t>
  </si>
  <si>
    <t>Allowances (₹)</t>
  </si>
  <si>
    <t>Overtime (₹)</t>
  </si>
  <si>
    <t>Deductions (₹)</t>
  </si>
  <si>
    <t>Net Salary (₹)</t>
  </si>
  <si>
    <t>Attendance Days</t>
  </si>
  <si>
    <t>Performance Score (%)</t>
  </si>
  <si>
    <t>Performance Rating</t>
  </si>
  <si>
    <t>Employment Status</t>
  </si>
  <si>
    <t>EMP1001</t>
  </si>
  <si>
    <t>arun Shah</t>
  </si>
  <si>
    <t>F</t>
  </si>
  <si>
    <t>finance</t>
  </si>
  <si>
    <t>Auditor</t>
  </si>
  <si>
    <t>01/5/2017</t>
  </si>
  <si>
    <t>DELHI</t>
  </si>
  <si>
    <t>Excellent</t>
  </si>
  <si>
    <t>Active</t>
  </si>
  <si>
    <t>EMP1002</t>
  </si>
  <si>
    <t>Dinesh Iyer</t>
  </si>
  <si>
    <t>Female</t>
  </si>
  <si>
    <t>Engineering</t>
  </si>
  <si>
    <t>Software Engineer</t>
  </si>
  <si>
    <t>Pune</t>
  </si>
  <si>
    <t>Poor</t>
  </si>
  <si>
    <t>On Leave</t>
  </si>
  <si>
    <t>EMP1003</t>
  </si>
  <si>
    <t>Arjun Vashistha</t>
  </si>
  <si>
    <t>Male</t>
  </si>
  <si>
    <t>HR</t>
  </si>
  <si>
    <t>Recruiter</t>
  </si>
  <si>
    <t>Mumbai</t>
  </si>
  <si>
    <t>EMP1004</t>
  </si>
  <si>
    <t>Tarun Rastogi</t>
  </si>
  <si>
    <t>Marketing</t>
  </si>
  <si>
    <t>Content Writer</t>
  </si>
  <si>
    <t>Average</t>
  </si>
  <si>
    <t>EMP1005</t>
  </si>
  <si>
    <t>Priya Bhatia</t>
  </si>
  <si>
    <t>Sales</t>
  </si>
  <si>
    <t>Sales Executive</t>
  </si>
  <si>
    <t>Bangalore</t>
  </si>
  <si>
    <t>Below Average</t>
  </si>
  <si>
    <t>Resigned</t>
  </si>
  <si>
    <t>EMP1006</t>
  </si>
  <si>
    <t>Hina Mathur</t>
  </si>
  <si>
    <t>Senior Sales</t>
  </si>
  <si>
    <t>EMP1007</t>
  </si>
  <si>
    <t>Tejal Reddy</t>
  </si>
  <si>
    <t>Good</t>
  </si>
  <si>
    <t>EMP1008</t>
  </si>
  <si>
    <t>Isha Iyer</t>
  </si>
  <si>
    <t>Operations</t>
  </si>
  <si>
    <t>Coordinator</t>
  </si>
  <si>
    <t>Kolkata</t>
  </si>
  <si>
    <t>EMP1009</t>
  </si>
  <si>
    <t>Xena Rastogi</t>
  </si>
  <si>
    <t>QA Engineer</t>
  </si>
  <si>
    <t>EMP1010</t>
  </si>
  <si>
    <t>Naina Bahl</t>
  </si>
  <si>
    <t>Chennai</t>
  </si>
  <si>
    <t>EMP1011</t>
  </si>
  <si>
    <t>KAVITA Tiwari</t>
  </si>
  <si>
    <t>Training Coordinator</t>
  </si>
  <si>
    <t>EMP1012</t>
  </si>
  <si>
    <t>Aarav Chauhan</t>
  </si>
  <si>
    <t>Hyderabad</t>
  </si>
  <si>
    <t>EMP1013</t>
  </si>
  <si>
    <t>Esha Nair</t>
  </si>
  <si>
    <t>SEO Specialist</t>
  </si>
  <si>
    <t>EMP1014</t>
  </si>
  <si>
    <t>Sunita Ghosh</t>
  </si>
  <si>
    <t>Marketing Executive</t>
  </si>
  <si>
    <t>EMP1015</t>
  </si>
  <si>
    <t>Tejal Patel</t>
  </si>
  <si>
    <t>Operations Executive</t>
  </si>
  <si>
    <t>EMP1016</t>
  </si>
  <si>
    <t>geeta Xavier</t>
  </si>
  <si>
    <t>Sales Manager</t>
  </si>
  <si>
    <t>EMP1017</t>
  </si>
  <si>
    <t>Zeba Ghosh</t>
  </si>
  <si>
    <t>Brand Manager</t>
  </si>
  <si>
    <t>EMP1018</t>
  </si>
  <si>
    <t>Pooja Rastogi</t>
  </si>
  <si>
    <t>Tech Lead</t>
  </si>
  <si>
    <t>EMP1019</t>
  </si>
  <si>
    <t>Deepa Tiwari</t>
  </si>
  <si>
    <t>Finance</t>
  </si>
  <si>
    <t>Accountant</t>
  </si>
  <si>
    <t>EMP1020</t>
  </si>
  <si>
    <t>Arun Zafar</t>
  </si>
  <si>
    <t>Business Dev</t>
  </si>
  <si>
    <t>EMP1021</t>
  </si>
  <si>
    <t>ARUN Dixit</t>
  </si>
  <si>
    <t>HR Executive</t>
  </si>
  <si>
    <t>01/5/2016</t>
  </si>
  <si>
    <t>EMP1022</t>
  </si>
  <si>
    <t>Manish Pillai</t>
  </si>
  <si>
    <t>EMP1023</t>
  </si>
  <si>
    <t>Bhavna Xavier</t>
  </si>
  <si>
    <t>EMP1024</t>
  </si>
  <si>
    <t>Bhavna Qadir</t>
  </si>
  <si>
    <t>EMP1025</t>
  </si>
  <si>
    <t>Riya Yadav</t>
  </si>
  <si>
    <t>Senior Accountant</t>
  </si>
  <si>
    <t>EMP1026</t>
  </si>
  <si>
    <t>Esha Das</t>
  </si>
  <si>
    <t>EMP1027</t>
  </si>
  <si>
    <t>Hina Bhatia</t>
  </si>
  <si>
    <t>EMP1028</t>
  </si>
  <si>
    <t>Nikhil Patel</t>
  </si>
  <si>
    <t>EMP1029</t>
  </si>
  <si>
    <t>Harsh Reddy</t>
  </si>
  <si>
    <t>EMP1030</t>
  </si>
  <si>
    <t>Farhan Saxena</t>
  </si>
  <si>
    <t>EMP1031</t>
  </si>
  <si>
    <t>karan Gupta</t>
  </si>
  <si>
    <t>marketing</t>
  </si>
  <si>
    <t>EMP1032</t>
  </si>
  <si>
    <t>Harsh Das</t>
  </si>
  <si>
    <t>EMP1033</t>
  </si>
  <si>
    <t>Ekta Fernandez</t>
  </si>
  <si>
    <t>EMP1034</t>
  </si>
  <si>
    <t>Bharat Patel</t>
  </si>
  <si>
    <t>EMP1035</t>
  </si>
  <si>
    <t>Deepa Iyer</t>
  </si>
  <si>
    <t>EMP1036</t>
  </si>
  <si>
    <t>Tarun Vashistha</t>
  </si>
  <si>
    <t>EMP1037</t>
  </si>
  <si>
    <t>Kavita Ahuja</t>
  </si>
  <si>
    <t>Logistics Manager</t>
  </si>
  <si>
    <t>EMP1038</t>
  </si>
  <si>
    <t>Rohit Rastogi</t>
  </si>
  <si>
    <t>EMP1039</t>
  </si>
  <si>
    <t>Lakshmi Kapoor</t>
  </si>
  <si>
    <t>EMP1040</t>
  </si>
  <si>
    <t>Harsh Thakur</t>
  </si>
  <si>
    <t>EMP1041</t>
  </si>
  <si>
    <t>SHREYA Kumar</t>
  </si>
  <si>
    <t>M</t>
  </si>
  <si>
    <t>01/4/2019</t>
  </si>
  <si>
    <t>EMP1042</t>
  </si>
  <si>
    <t>Vimal Upadhyay</t>
  </si>
  <si>
    <t>EMP1043</t>
  </si>
  <si>
    <t>Vikas Shah</t>
  </si>
  <si>
    <t>EMP1044</t>
  </si>
  <si>
    <t>Naina Kapoor</t>
  </si>
  <si>
    <t>EMP1045</t>
  </si>
  <si>
    <t>Geeta Lal</t>
  </si>
  <si>
    <t>EMP1046</t>
  </si>
  <si>
    <t>divya Bahl</t>
  </si>
  <si>
    <t>EMP1047</t>
  </si>
  <si>
    <t>Waqar Hassan</t>
  </si>
  <si>
    <t>EMP1048</t>
  </si>
  <si>
    <t>Chetan Bhatia</t>
  </si>
  <si>
    <t>EMP1049</t>
  </si>
  <si>
    <t>Bina Kapoor</t>
  </si>
  <si>
    <t>EMP1050</t>
  </si>
  <si>
    <t>Vikas Subramaniam</t>
  </si>
  <si>
    <t>EMP1051</t>
  </si>
  <si>
    <t>JAY Doshi</t>
  </si>
  <si>
    <t>MUMBAI</t>
  </si>
  <si>
    <t>EMP1052</t>
  </si>
  <si>
    <t>Arjun Chawla</t>
  </si>
  <si>
    <t>EMP1053</t>
  </si>
  <si>
    <t>Aarav Tiwari</t>
  </si>
  <si>
    <t>EMP1054</t>
  </si>
  <si>
    <t>Shreya Subramaniam</t>
  </si>
  <si>
    <t>EMP1055</t>
  </si>
  <si>
    <t>Jyoti Lal</t>
  </si>
  <si>
    <t>EMP1056</t>
  </si>
  <si>
    <t>Kavita Pillai</t>
  </si>
  <si>
    <t>Delhi</t>
  </si>
  <si>
    <t>EMP1057</t>
  </si>
  <si>
    <t>Vikas Mehta</t>
  </si>
  <si>
    <t>EMP1058</t>
  </si>
  <si>
    <t>Zara Chopra</t>
  </si>
  <si>
    <t>EMP1059</t>
  </si>
  <si>
    <t>Bhavna Agarwal</t>
  </si>
  <si>
    <t>EMP1060</t>
  </si>
  <si>
    <t>Manish Walia</t>
  </si>
  <si>
    <t>EMP1061</t>
  </si>
  <si>
    <t>akash Lal</t>
  </si>
  <si>
    <t>hr</t>
  </si>
  <si>
    <t>HR Manager</t>
  </si>
  <si>
    <t>01/8/2016</t>
  </si>
  <si>
    <t>EMP1062</t>
  </si>
  <si>
    <t>Lokesh Rastogi</t>
  </si>
  <si>
    <t>EMP1063</t>
  </si>
  <si>
    <t>EMP1064</t>
  </si>
  <si>
    <t>Aditi Singh</t>
  </si>
  <si>
    <t>EMP1065</t>
  </si>
  <si>
    <t>Esha Bahl</t>
  </si>
  <si>
    <t>Finance Manager</t>
  </si>
  <si>
    <t>EMP1066</t>
  </si>
  <si>
    <t>Hina Joshi</t>
  </si>
  <si>
    <t>EMP1067</t>
  </si>
  <si>
    <t>Karan Saxena</t>
  </si>
  <si>
    <t>EMP1068</t>
  </si>
  <si>
    <t>Ekta Doshi</t>
  </si>
  <si>
    <t>EMP1069</t>
  </si>
  <si>
    <t>Ekta Jain</t>
  </si>
  <si>
    <t>Admin Officer</t>
  </si>
  <si>
    <t>EMP1070</t>
  </si>
  <si>
    <t>Karan Reddy</t>
  </si>
  <si>
    <t>EMP1071</t>
  </si>
  <si>
    <t>AARAV Naik</t>
  </si>
  <si>
    <t>EMP1072</t>
  </si>
  <si>
    <t>Bina Yadav</t>
  </si>
  <si>
    <t>EMP1073</t>
  </si>
  <si>
    <t>Chhaya Vashistha</t>
  </si>
  <si>
    <t>EMP1074</t>
  </si>
  <si>
    <t>Aarav Pillai</t>
  </si>
  <si>
    <t>EMP1075</t>
  </si>
  <si>
    <t>Sanjay Islam</t>
  </si>
  <si>
    <t>EMP1076</t>
  </si>
  <si>
    <t>isha Eapen</t>
  </si>
  <si>
    <t>EMP1077</t>
  </si>
  <si>
    <t>Yash Mathur</t>
  </si>
  <si>
    <t>EMP1078</t>
  </si>
  <si>
    <t>Vikas Verma</t>
  </si>
  <si>
    <t>EMP1079</t>
  </si>
  <si>
    <t>Geeta Das</t>
  </si>
  <si>
    <t>EMP1080</t>
  </si>
  <si>
    <t>Vimal Iyer</t>
  </si>
  <si>
    <t>EMP1081</t>
  </si>
  <si>
    <t>ESHA Shah</t>
  </si>
  <si>
    <t>01/4/2015</t>
  </si>
  <si>
    <t>EMP1082</t>
  </si>
  <si>
    <t>Nikhil Joshi</t>
  </si>
  <si>
    <t>EMP1083</t>
  </si>
  <si>
    <t>Ekta Islam</t>
  </si>
  <si>
    <t>EMP1084</t>
  </si>
  <si>
    <t>Lokesh Thakur</t>
  </si>
  <si>
    <t>EMP1085</t>
  </si>
  <si>
    <t>Farhan Pandey</t>
  </si>
  <si>
    <t>EMP1086</t>
  </si>
  <si>
    <t>Arjun Nair</t>
  </si>
  <si>
    <t>EMP1087</t>
  </si>
  <si>
    <t>Bina Fernandez</t>
  </si>
  <si>
    <t>EMP1088</t>
  </si>
  <si>
    <t>Xena Kapoor</t>
  </si>
  <si>
    <t>EMP1089</t>
  </si>
  <si>
    <t>Hina Iyer</t>
  </si>
  <si>
    <t>EMP1090</t>
  </si>
  <si>
    <t>Sanjay Ghosh</t>
  </si>
  <si>
    <t>EMP1091</t>
  </si>
  <si>
    <t>inder Qadir</t>
  </si>
  <si>
    <t>EMP1092</t>
  </si>
  <si>
    <t>Karan Bhatia</t>
  </si>
  <si>
    <t>EMP1093</t>
  </si>
  <si>
    <t>Vimal Das</t>
  </si>
  <si>
    <t>EMP1094</t>
  </si>
  <si>
    <t>Geeta Subramaniam</t>
  </si>
  <si>
    <t>EMP1095</t>
  </si>
  <si>
    <t>Shreya Kapoor</t>
  </si>
  <si>
    <t>EMP1096</t>
  </si>
  <si>
    <t>Tarun Mathur</t>
  </si>
  <si>
    <t>EMP1097</t>
  </si>
  <si>
    <t>Sanjay Yadav</t>
  </si>
  <si>
    <t>EMP1098</t>
  </si>
  <si>
    <t>Meera Gupta</t>
  </si>
  <si>
    <t>EMP1099</t>
  </si>
  <si>
    <t>Ekta Hassan</t>
  </si>
  <si>
    <t>EMP1100</t>
  </si>
  <si>
    <t>Tarun Bahl</t>
  </si>
  <si>
    <t>EMP1101</t>
  </si>
  <si>
    <t>WAQAR Mehta</t>
  </si>
  <si>
    <t>01/4/2020</t>
  </si>
  <si>
    <t>HYDERABAD</t>
  </si>
  <si>
    <t>EMP1102</t>
  </si>
  <si>
    <t>Zeba Joshi</t>
  </si>
  <si>
    <t>EMP1103</t>
  </si>
  <si>
    <t>Zara Zafar</t>
  </si>
  <si>
    <t>EMP1104</t>
  </si>
  <si>
    <t>Waqar Sharma</t>
  </si>
  <si>
    <t>EMP1105</t>
  </si>
  <si>
    <t>Chirag Thakur</t>
  </si>
  <si>
    <t>EMP1106</t>
  </si>
  <si>
    <t>bhavna Agarwal</t>
  </si>
  <si>
    <t>EMP1107</t>
  </si>
  <si>
    <t>Xena Das</t>
  </si>
  <si>
    <t>Senior Engineer</t>
  </si>
  <si>
    <t>EMP1108</t>
  </si>
  <si>
    <t>Hina Dixit</t>
  </si>
  <si>
    <t>EMP1109</t>
  </si>
  <si>
    <t>Xena Rao</t>
  </si>
  <si>
    <t>EMP1110</t>
  </si>
  <si>
    <t>Dinesh Fernandez</t>
  </si>
  <si>
    <t>EMP1111</t>
  </si>
  <si>
    <t>GAURAV Naik</t>
  </si>
  <si>
    <t>EMP1112</t>
  </si>
  <si>
    <t>Priya Khanna</t>
  </si>
  <si>
    <t>EMP1113</t>
  </si>
  <si>
    <t>Hina Ahuja</t>
  </si>
  <si>
    <t>EMP1114</t>
  </si>
  <si>
    <t>Sanjay Malhotra</t>
  </si>
  <si>
    <t>EMP1115</t>
  </si>
  <si>
    <t>Vikas Ghosh</t>
  </si>
  <si>
    <t>EMP1116</t>
  </si>
  <si>
    <t>Farhan Doshi</t>
  </si>
  <si>
    <t>EMP1117</t>
  </si>
  <si>
    <t>Waqar Joshi</t>
  </si>
  <si>
    <t>EMP1118</t>
  </si>
  <si>
    <t>Tejal Pandey</t>
  </si>
  <si>
    <t>EMP1119</t>
  </si>
  <si>
    <t>Farhan Zafar</t>
  </si>
  <si>
    <t>EMP1120</t>
  </si>
  <si>
    <t>Vikas Doshi</t>
  </si>
  <si>
    <t>EMP1121</t>
  </si>
  <si>
    <t>riya Bhatia</t>
  </si>
  <si>
    <t>01/4/2017</t>
  </si>
  <si>
    <t>EMP1122</t>
  </si>
  <si>
    <t>Tarun Pillai</t>
  </si>
  <si>
    <t>EMP1123</t>
  </si>
  <si>
    <t>Geeta Naik</t>
  </si>
  <si>
    <t>EMP1124</t>
  </si>
  <si>
    <t>Lokesh Gupta</t>
  </si>
  <si>
    <t>EMP1125</t>
  </si>
  <si>
    <t>Om Thakur</t>
  </si>
  <si>
    <t>EMP1126</t>
  </si>
  <si>
    <t>Hina Agarwal</t>
  </si>
  <si>
    <t>EMP1127</t>
  </si>
  <si>
    <t>Anjali Xavier</t>
  </si>
  <si>
    <t>EMP1128</t>
  </si>
  <si>
    <t>Divya Vashistha</t>
  </si>
  <si>
    <t>EMP1129</t>
  </si>
  <si>
    <t>Gaurav Mehta</t>
  </si>
  <si>
    <t>EMP1130</t>
  </si>
  <si>
    <t>Zeba Zafar</t>
  </si>
  <si>
    <t>EMP1131</t>
  </si>
  <si>
    <t>RAHUL Ahuja</t>
  </si>
  <si>
    <t>EMP1132</t>
  </si>
  <si>
    <t>Deepa Vashistha</t>
  </si>
  <si>
    <t>EMP1133</t>
  </si>
  <si>
    <t>Farhan Ahuja</t>
  </si>
  <si>
    <t>EMP1134</t>
  </si>
  <si>
    <t>Jyoti Dixit</t>
  </si>
  <si>
    <t>EMP1135</t>
  </si>
  <si>
    <t>Bhavna Das</t>
  </si>
  <si>
    <t>EMP1136</t>
  </si>
  <si>
    <t>deepa Naik</t>
  </si>
  <si>
    <t>EMP1137</t>
  </si>
  <si>
    <t>Chirag Yadav</t>
  </si>
  <si>
    <t>EMP1138</t>
  </si>
  <si>
    <t>Aarav Sharma</t>
  </si>
  <si>
    <t>EMP1139</t>
  </si>
  <si>
    <t>Vikas Naik</t>
  </si>
  <si>
    <t>EMP1140</t>
  </si>
  <si>
    <t>Riya Ahuja</t>
  </si>
  <si>
    <t>EMP1141</t>
  </si>
  <si>
    <t>SUNITA Khanna</t>
  </si>
  <si>
    <t>01/11/2015</t>
  </si>
  <si>
    <t>EMP1142</t>
  </si>
  <si>
    <t>Lokesh Iyer</t>
  </si>
  <si>
    <t>EMP1143</t>
  </si>
  <si>
    <t>Isha Thakur</t>
  </si>
  <si>
    <t>EMP1144</t>
  </si>
  <si>
    <t>Riya Rastogi</t>
  </si>
  <si>
    <t>EMP1145</t>
  </si>
  <si>
    <t>Chirag Fernandez</t>
  </si>
  <si>
    <t>EMP1146</t>
  </si>
  <si>
    <t>Qasim Xavier</t>
  </si>
  <si>
    <t>EMP1147</t>
  </si>
  <si>
    <t>Tarun Dubey</t>
  </si>
  <si>
    <t>EMP1148</t>
  </si>
  <si>
    <t>Kavita Kumar</t>
  </si>
  <si>
    <t>EMP1149</t>
  </si>
  <si>
    <t>Chirag Mehta</t>
  </si>
  <si>
    <t>EMP1150</t>
  </si>
  <si>
    <t>Isha Das</t>
  </si>
  <si>
    <t>EMP1151</t>
  </si>
  <si>
    <t>om Chawla</t>
  </si>
  <si>
    <t>EMP1152</t>
  </si>
  <si>
    <t>Jay Bose</t>
  </si>
  <si>
    <t>EMP1153</t>
  </si>
  <si>
    <t>Bina Mehta</t>
  </si>
  <si>
    <t>EMP1154</t>
  </si>
  <si>
    <t>Jay Malhotra</t>
  </si>
  <si>
    <t>EMP1155</t>
  </si>
  <si>
    <t>Riya Das</t>
  </si>
  <si>
    <t>EMP1156</t>
  </si>
  <si>
    <t>Rohit Khanna</t>
  </si>
  <si>
    <t>EMP1157</t>
  </si>
  <si>
    <t>Rohit Chawla</t>
  </si>
  <si>
    <t>EMP1158</t>
  </si>
  <si>
    <t>Riya Xavier</t>
  </si>
  <si>
    <t>EMP1159</t>
  </si>
  <si>
    <t>Hina Dubey</t>
  </si>
  <si>
    <t>EMP1160</t>
  </si>
  <si>
    <t>Chirag Chawla</t>
  </si>
  <si>
    <t>EMP1161</t>
  </si>
  <si>
    <t>MEERA Verma</t>
  </si>
  <si>
    <t>01/3/2021</t>
  </si>
  <si>
    <t>EMP1162</t>
  </si>
  <si>
    <t>Zara Subramaniam</t>
  </si>
  <si>
    <t>EMP1163</t>
  </si>
  <si>
    <t>EMP1164</t>
  </si>
  <si>
    <t>Aditi Upadhyay</t>
  </si>
  <si>
    <t>EMP1165</t>
  </si>
  <si>
    <t>Om Dubey</t>
  </si>
  <si>
    <t>EMP1166</t>
  </si>
  <si>
    <t>zeba Hassan</t>
  </si>
  <si>
    <t>EMP1167</t>
  </si>
  <si>
    <t>Rahul Ojha</t>
  </si>
  <si>
    <t>EMP1168</t>
  </si>
  <si>
    <t>Meera Qadir</t>
  </si>
  <si>
    <t>EMP1169</t>
  </si>
  <si>
    <t>Bina Chopra</t>
  </si>
  <si>
    <t>EMP1170</t>
  </si>
  <si>
    <t>Manish Islam</t>
  </si>
  <si>
    <t>EMP1171</t>
  </si>
  <si>
    <t>INDER Doshi</t>
  </si>
  <si>
    <t>EMP1172</t>
  </si>
  <si>
    <t>Deepa Nair</t>
  </si>
  <si>
    <t>EMP1173</t>
  </si>
  <si>
    <t>Usha Jain</t>
  </si>
  <si>
    <t>EMP1174</t>
  </si>
  <si>
    <t>Chetan Kapoor</t>
  </si>
  <si>
    <t>EMP1175</t>
  </si>
  <si>
    <t>Lakshmi Singh</t>
  </si>
  <si>
    <t>EMP1176</t>
  </si>
  <si>
    <t>Dinesh Ahuja</t>
  </si>
  <si>
    <t>EMP1177</t>
  </si>
  <si>
    <t>Priya Subramaniam</t>
  </si>
  <si>
    <t>EMP1178</t>
  </si>
  <si>
    <t>Pooja Khanna</t>
  </si>
  <si>
    <t>EMP1179</t>
  </si>
  <si>
    <t>Isha Ahuja</t>
  </si>
  <si>
    <t>EMP1180</t>
  </si>
  <si>
    <t>EMP1181</t>
  </si>
  <si>
    <t>amit Chauhan</t>
  </si>
  <si>
    <t>operations</t>
  </si>
  <si>
    <t>01/9/2021</t>
  </si>
  <si>
    <t>EMP1182</t>
  </si>
  <si>
    <t>EMP1183</t>
  </si>
  <si>
    <t>Sanjay Mehta</t>
  </si>
  <si>
    <t>EMP1184</t>
  </si>
  <si>
    <t>Sunita Chopra</t>
  </si>
  <si>
    <t>EMP1185</t>
  </si>
  <si>
    <t>Gaurav Verma</t>
  </si>
  <si>
    <t>EMP1186</t>
  </si>
  <si>
    <t>Esha Gupta</t>
  </si>
  <si>
    <t>EMP1187</t>
  </si>
  <si>
    <t>EMP1188</t>
  </si>
  <si>
    <t>Arjun Qadir</t>
  </si>
  <si>
    <t>EMP1189</t>
  </si>
  <si>
    <t>Tarun Joshi</t>
  </si>
  <si>
    <t>EMP1190</t>
  </si>
  <si>
    <t>Isha Agarwal</t>
  </si>
  <si>
    <t>EMP1191</t>
  </si>
  <si>
    <t>ARUN Qadir</t>
  </si>
  <si>
    <t>EMP1192</t>
  </si>
  <si>
    <t>Zara Dixit</t>
  </si>
  <si>
    <t>EMP1193</t>
  </si>
  <si>
    <t>Jay Naik</t>
  </si>
  <si>
    <t>EMP1194</t>
  </si>
  <si>
    <t>Anjali Patel</t>
  </si>
  <si>
    <t>EMP1195</t>
  </si>
  <si>
    <t>Arun Walia</t>
  </si>
  <si>
    <t>EMP1196</t>
  </si>
  <si>
    <t>aarav Kumar</t>
  </si>
  <si>
    <t>EMP1197</t>
  </si>
  <si>
    <t>Lokesh Ghosh</t>
  </si>
  <si>
    <t>EMP1198</t>
  </si>
  <si>
    <t>Chirag Reddy</t>
  </si>
  <si>
    <t>EMP1199</t>
  </si>
  <si>
    <t>Jay Lal</t>
  </si>
  <si>
    <t>EMP1200</t>
  </si>
  <si>
    <t>Kavita Chopra</t>
  </si>
  <si>
    <t>EMP1201</t>
  </si>
  <si>
    <t>CHETAN Joshi</t>
  </si>
  <si>
    <t>01/10/2016</t>
  </si>
  <si>
    <t>PUNE</t>
  </si>
  <si>
    <t>EMP1202</t>
  </si>
  <si>
    <t>Lokesh Qadir</t>
  </si>
  <si>
    <t>EMP1203</t>
  </si>
  <si>
    <t>Riya Rao</t>
  </si>
  <si>
    <t>EMP1204</t>
  </si>
  <si>
    <t>Pooja Agarwal</t>
  </si>
  <si>
    <t>EMP1205</t>
  </si>
  <si>
    <t>Qasim Mehta</t>
  </si>
  <si>
    <t>EMP1206</t>
  </si>
  <si>
    <t>Zara Sharma</t>
  </si>
  <si>
    <t>EMP1207</t>
  </si>
  <si>
    <t>Isha Rao</t>
  </si>
  <si>
    <t>EMP1208</t>
  </si>
  <si>
    <t>Rohit Hassan</t>
  </si>
  <si>
    <t>EMP1209</t>
  </si>
  <si>
    <t>Divya Singh</t>
  </si>
  <si>
    <t>EMP1210</t>
  </si>
  <si>
    <t>Chetan Rastogi</t>
  </si>
  <si>
    <t>EMP1211</t>
  </si>
  <si>
    <t>sanjay Khanna</t>
  </si>
  <si>
    <t>EMP1212</t>
  </si>
  <si>
    <t>Riya Pandey</t>
  </si>
  <si>
    <t>EMP1213</t>
  </si>
  <si>
    <t>Lakshmi Mehta</t>
  </si>
  <si>
    <t>EMP1214</t>
  </si>
  <si>
    <t>Zeba Sharma</t>
  </si>
  <si>
    <t>EMP1215</t>
  </si>
  <si>
    <t>Anjali Qadir</t>
  </si>
  <si>
    <t>EMP1216</t>
  </si>
  <si>
    <t>Rohit Reddy</t>
  </si>
  <si>
    <t>EMP1217</t>
  </si>
  <si>
    <t>Naina Singh</t>
  </si>
  <si>
    <t>EMP1218</t>
  </si>
  <si>
    <t>Harsh Qadir</t>
  </si>
  <si>
    <t>EMP1219</t>
  </si>
  <si>
    <t>Sanjay Eapen</t>
  </si>
  <si>
    <t>EMP1220</t>
  </si>
  <si>
    <t>Anjali Rao</t>
  </si>
  <si>
    <t>EMP1221</t>
  </si>
  <si>
    <t>MANISH Chopra</t>
  </si>
  <si>
    <t>01/7/2020</t>
  </si>
  <si>
    <t>EMP1222</t>
  </si>
  <si>
    <t>Sanjay Zafar</t>
  </si>
  <si>
    <t>EMP1223</t>
  </si>
  <si>
    <t>Riya Bhatia</t>
  </si>
  <si>
    <t>EMP1224</t>
  </si>
  <si>
    <t>Riya Hassan</t>
  </si>
  <si>
    <t>EMP1225</t>
  </si>
  <si>
    <t>Gaurav Malhotra</t>
  </si>
  <si>
    <t>EMP1226</t>
  </si>
  <si>
    <t>uma Pillai</t>
  </si>
  <si>
    <t>EMP1227</t>
  </si>
  <si>
    <t>Usha Mehta</t>
  </si>
  <si>
    <t>EMP1228</t>
  </si>
  <si>
    <t>EMP1229</t>
  </si>
  <si>
    <t>Waqar Nair</t>
  </si>
  <si>
    <t>EMP1230</t>
  </si>
  <si>
    <t>Bharat Upadhyay</t>
  </si>
  <si>
    <t>EMP1231</t>
  </si>
  <si>
    <t>ARUN Yadav</t>
  </si>
  <si>
    <t>EMP1232</t>
  </si>
  <si>
    <t>Rahul Bahl</t>
  </si>
  <si>
    <t>EMP1233</t>
  </si>
  <si>
    <t>EMP1234</t>
  </si>
  <si>
    <t>Vikas Chauhan</t>
  </si>
  <si>
    <t>EMP1235</t>
  </si>
  <si>
    <t>Divya Iyer</t>
  </si>
  <si>
    <t>EMP1236</t>
  </si>
  <si>
    <t>Farhan Sharma</t>
  </si>
  <si>
    <t>EMP1237</t>
  </si>
  <si>
    <t>Priya Vashistha</t>
  </si>
  <si>
    <t>EMP1238</t>
  </si>
  <si>
    <t>Aarav Hassan</t>
  </si>
  <si>
    <t>EMP1239</t>
  </si>
  <si>
    <t>Yash Das</t>
  </si>
  <si>
    <t>EMP1240</t>
  </si>
  <si>
    <t>Esha Joshi</t>
  </si>
  <si>
    <t>EMP1241</t>
  </si>
  <si>
    <t>arjun Eapen</t>
  </si>
  <si>
    <t>sales</t>
  </si>
  <si>
    <t>EMP1242</t>
  </si>
  <si>
    <t>Chirag Jain</t>
  </si>
  <si>
    <t>EMP1243</t>
  </si>
  <si>
    <t>EMP1244</t>
  </si>
  <si>
    <t>Akash Chauhan</t>
  </si>
  <si>
    <t>EMP1245</t>
  </si>
  <si>
    <t>Aditi Naik</t>
  </si>
  <si>
    <t>EMP1246</t>
  </si>
  <si>
    <t>Dinesh Hassan</t>
  </si>
  <si>
    <t>EMP1247</t>
  </si>
  <si>
    <t>EMP1248</t>
  </si>
  <si>
    <t>Xena Gupta</t>
  </si>
  <si>
    <t>EMP1249</t>
  </si>
  <si>
    <t>Dinesh Jain</t>
  </si>
  <si>
    <t>EMP1250</t>
  </si>
  <si>
    <t>Dinesh Mishra</t>
  </si>
  <si>
    <t>EMP1251</t>
  </si>
  <si>
    <t>JYOTI Upadhyay</t>
  </si>
  <si>
    <t>EMP1252</t>
  </si>
  <si>
    <t>Arun Tiwari</t>
  </si>
  <si>
    <t>EMP1253</t>
  </si>
  <si>
    <t>Sanjay Nair</t>
  </si>
  <si>
    <t>EMP1254</t>
  </si>
  <si>
    <t>Hina Walia</t>
  </si>
  <si>
    <t>EMP1255</t>
  </si>
  <si>
    <t>EMP1256</t>
  </si>
  <si>
    <t>akash Malhotra</t>
  </si>
  <si>
    <t>EMP1257</t>
  </si>
  <si>
    <t>Akash Das</t>
  </si>
  <si>
    <t>EMP1258</t>
  </si>
  <si>
    <t>Gaurav Dubey</t>
  </si>
  <si>
    <t>EMP1259</t>
  </si>
  <si>
    <t>Vimal Kapoor</t>
  </si>
  <si>
    <t>EMP1260</t>
  </si>
  <si>
    <t>Sunita Eapen</t>
  </si>
  <si>
    <t>EMP1261</t>
  </si>
  <si>
    <t>ADITI Reddy</t>
  </si>
  <si>
    <t>01/9/2017</t>
  </si>
  <si>
    <t>EMP1262</t>
  </si>
  <si>
    <t>Riya Khanna</t>
  </si>
  <si>
    <t>EMP1263</t>
  </si>
  <si>
    <t>EMP1264</t>
  </si>
  <si>
    <t>Sunita Mehta</t>
  </si>
  <si>
    <t>EMP1265</t>
  </si>
  <si>
    <t>Shreya Chawla</t>
  </si>
  <si>
    <t>EMP1266</t>
  </si>
  <si>
    <t>Hina Thakur</t>
  </si>
  <si>
    <t>EMP1267</t>
  </si>
  <si>
    <t>Tejal Chauhan</t>
  </si>
  <si>
    <t>EMP1268</t>
  </si>
  <si>
    <t>Bina Gupta</t>
  </si>
  <si>
    <t>EMP1269</t>
  </si>
  <si>
    <t>Xena Shah</t>
  </si>
  <si>
    <t>EMP1270</t>
  </si>
  <si>
    <t>EMP1271</t>
  </si>
  <si>
    <t>nikhil Khanna</t>
  </si>
  <si>
    <t>engineering</t>
  </si>
  <si>
    <t>EMP1272</t>
  </si>
  <si>
    <t>Chhaya Verma</t>
  </si>
  <si>
    <t>EMP1273</t>
  </si>
  <si>
    <t>Uma Tiwari</t>
  </si>
  <si>
    <t>EMP1274</t>
  </si>
  <si>
    <t>Riya Dixit</t>
  </si>
  <si>
    <t>EMP1275</t>
  </si>
  <si>
    <t>Inder Mathur</t>
  </si>
  <si>
    <t>EMP1276</t>
  </si>
  <si>
    <t>Anjali Chopra</t>
  </si>
  <si>
    <t>EMP1277</t>
  </si>
  <si>
    <t>Harsh Gupta</t>
  </si>
  <si>
    <t>EMP1278</t>
  </si>
  <si>
    <t>Karan Iyer</t>
  </si>
  <si>
    <t>EMP1279</t>
  </si>
  <si>
    <t>Anjali Kumar</t>
  </si>
  <si>
    <t>EMP1280</t>
  </si>
  <si>
    <t>EMP1281</t>
  </si>
  <si>
    <t>BHAVNA Singh</t>
  </si>
  <si>
    <t>01/10/2018</t>
  </si>
  <si>
    <t>EMP1282</t>
  </si>
  <si>
    <t>Divya Verma</t>
  </si>
  <si>
    <t>EMP1283</t>
  </si>
  <si>
    <t>Akash Patel</t>
  </si>
  <si>
    <t>EMP1284</t>
  </si>
  <si>
    <t>Divya Naik</t>
  </si>
  <si>
    <t>EMP1285</t>
  </si>
  <si>
    <t>Geeta Doshi</t>
  </si>
  <si>
    <t>EMP1286</t>
  </si>
  <si>
    <t>zeba Jain</t>
  </si>
  <si>
    <t>EMP1287</t>
  </si>
  <si>
    <t>Yash Vashistha</t>
  </si>
  <si>
    <t>EMP1288</t>
  </si>
  <si>
    <t>Arun Bahl</t>
  </si>
  <si>
    <t>EMP1289</t>
  </si>
  <si>
    <t>Inder Tiwari</t>
  </si>
  <si>
    <t>EMP1290</t>
  </si>
  <si>
    <t>Tarun Malhotra</t>
  </si>
  <si>
    <t>EMP1291</t>
  </si>
  <si>
    <t>LOKESH Mathur</t>
  </si>
  <si>
    <t>EMP1292</t>
  </si>
  <si>
    <t>Jyoti Rastogi</t>
  </si>
  <si>
    <t>EMP1293</t>
  </si>
  <si>
    <t>Farhan Qadir</t>
  </si>
  <si>
    <t>EMP1294</t>
  </si>
  <si>
    <t>Xena Agarwal</t>
  </si>
  <si>
    <t>EMP1295</t>
  </si>
  <si>
    <t>Pooja Rao</t>
  </si>
  <si>
    <t>EMP1296</t>
  </si>
  <si>
    <t>Usha Khanna</t>
  </si>
  <si>
    <t>EMP1297</t>
  </si>
  <si>
    <t>Tarun Lal</t>
  </si>
  <si>
    <t>EMP1298</t>
  </si>
  <si>
    <t>EMP1299</t>
  </si>
  <si>
    <t>Nikhil Dubey</t>
  </si>
  <si>
    <t>EMP1300</t>
  </si>
  <si>
    <t>Bhavna Nair</t>
  </si>
  <si>
    <t>EMP1301</t>
  </si>
  <si>
    <t>om Walia</t>
  </si>
  <si>
    <t>BANGALORE</t>
  </si>
  <si>
    <t>EMP1302</t>
  </si>
  <si>
    <t>Qasim Shah</t>
  </si>
  <si>
    <t>EMP1303</t>
  </si>
  <si>
    <t>Farhan Reddy</t>
  </si>
  <si>
    <t>EMP1304</t>
  </si>
  <si>
    <t>Pooja Islam</t>
  </si>
  <si>
    <t>EMP1305</t>
  </si>
  <si>
    <t>Esha Iyer</t>
  </si>
  <si>
    <t>EMP1306</t>
  </si>
  <si>
    <t>Zara Qadir</t>
  </si>
  <si>
    <t>EMP1307</t>
  </si>
  <si>
    <t>Hina Islam</t>
  </si>
  <si>
    <t>EMP1308</t>
  </si>
  <si>
    <t>Hina Hassan</t>
  </si>
  <si>
    <t>EMP1309</t>
  </si>
  <si>
    <t>Hina Rastogi</t>
  </si>
  <si>
    <t>EMP1310</t>
  </si>
  <si>
    <t>Bhavna Dubey</t>
  </si>
  <si>
    <t>EMP1311</t>
  </si>
  <si>
    <t>YASH Zafar</t>
  </si>
  <si>
    <t>EMP1312</t>
  </si>
  <si>
    <t>Bharat Pandey</t>
  </si>
  <si>
    <t>EMP1313</t>
  </si>
  <si>
    <t>Akash Chopra</t>
  </si>
  <si>
    <t>EMP1314</t>
  </si>
  <si>
    <t>Bharat Eapen</t>
  </si>
  <si>
    <t>EMP1315</t>
  </si>
  <si>
    <t>Om Sharma</t>
  </si>
  <si>
    <t>EMP1316</t>
  </si>
  <si>
    <t>aarav Bahl</t>
  </si>
  <si>
    <t>EMP1317</t>
  </si>
  <si>
    <t>Lokesh Islam</t>
  </si>
  <si>
    <t>EMP1318</t>
  </si>
  <si>
    <t>EMP1319</t>
  </si>
  <si>
    <t>Rahul Gupta</t>
  </si>
  <si>
    <t>EMP1320</t>
  </si>
  <si>
    <t>Chirag Walia</t>
  </si>
  <si>
    <t>EMP1321</t>
  </si>
  <si>
    <t>ISHA Ahuja</t>
  </si>
  <si>
    <t>01/8/2015</t>
  </si>
  <si>
    <t>EMP1322</t>
  </si>
  <si>
    <t>Zeba Fernandez</t>
  </si>
  <si>
    <t>EMP1323</t>
  </si>
  <si>
    <t>Gaurav Vashistha</t>
  </si>
  <si>
    <t>EMP1324</t>
  </si>
  <si>
    <t>Esha Malhotra</t>
  </si>
  <si>
    <t>EMP1325</t>
  </si>
  <si>
    <t>Riya Upadhyay</t>
  </si>
  <si>
    <t>EMP1326</t>
  </si>
  <si>
    <t>Rohit Kumar</t>
  </si>
  <si>
    <t>EMP1327</t>
  </si>
  <si>
    <t>Shreya Bhatia</t>
  </si>
  <si>
    <t>EMP1328</t>
  </si>
  <si>
    <t>Deepa Doshi</t>
  </si>
  <si>
    <t>EMP1329</t>
  </si>
  <si>
    <t>Chetan Dixit</t>
  </si>
  <si>
    <t>EMP1330</t>
  </si>
  <si>
    <t>Jyoti Pandey</t>
  </si>
  <si>
    <t>EMP1331</t>
  </si>
  <si>
    <t>aarav Subramaniam</t>
  </si>
  <si>
    <t>EMP1332</t>
  </si>
  <si>
    <t>Qasim Fernandez</t>
  </si>
  <si>
    <t>EMP1333</t>
  </si>
  <si>
    <t>Meera Sharma</t>
  </si>
  <si>
    <t>EMP1334</t>
  </si>
  <si>
    <t>Yash Reddy</t>
  </si>
  <si>
    <t>EMP1335</t>
  </si>
  <si>
    <t>Divya Qadir</t>
  </si>
  <si>
    <t>EMP1336</t>
  </si>
  <si>
    <t>Kavita Lal</t>
  </si>
  <si>
    <t>EMP1337</t>
  </si>
  <si>
    <t>Jyoti Hassan</t>
  </si>
  <si>
    <t>EMP1338</t>
  </si>
  <si>
    <t>Priya Ojha</t>
  </si>
  <si>
    <t>EMP1339</t>
  </si>
  <si>
    <t>Chirag Zafar</t>
  </si>
  <si>
    <t>EMP1340</t>
  </si>
  <si>
    <t>Vikas Dubey</t>
  </si>
  <si>
    <t>EMP1341</t>
  </si>
  <si>
    <t>LOKESH Islam</t>
  </si>
  <si>
    <t>01/8/2017</t>
  </si>
  <si>
    <t>EMP1342</t>
  </si>
  <si>
    <t>Chhaya Subramaniam</t>
  </si>
  <si>
    <t>EMP1343</t>
  </si>
  <si>
    <t>Ekta Gupta</t>
  </si>
  <si>
    <t>EMP1344</t>
  </si>
  <si>
    <t>Farhan Bahl</t>
  </si>
  <si>
    <t>EMP1345</t>
  </si>
  <si>
    <t>Esha Verma</t>
  </si>
  <si>
    <t>EMP1346</t>
  </si>
  <si>
    <t>om Rao</t>
  </si>
  <si>
    <t>EMP1347</t>
  </si>
  <si>
    <t>Rohit Thakur</t>
  </si>
  <si>
    <t>EMP1348</t>
  </si>
  <si>
    <t>Karan Rao</t>
  </si>
  <si>
    <t>EMP1349</t>
  </si>
  <si>
    <t>Kavita Reddy</t>
  </si>
  <si>
    <t>EMP1350</t>
  </si>
  <si>
    <t>FINANCE</t>
  </si>
  <si>
    <t>ENGINEERING</t>
  </si>
  <si>
    <t>MARKETING</t>
  </si>
  <si>
    <t>SALES</t>
  </si>
  <si>
    <t>OPERATIONS</t>
  </si>
  <si>
    <t>📊  EMPLOYEE PERFORMANCE &amp; PAYROLL MANAGEMENT SYSTEM  |  Industrial Analytics Dashboard</t>
  </si>
  <si>
    <t>👥 TOTAL EMPLOYEES</t>
  </si>
  <si>
    <t>✅ ACTIVE</t>
  </si>
  <si>
    <t>💰 TOTAL PAYROLL</t>
  </si>
  <si>
    <t>⭐ AVG PERFORMANCE</t>
  </si>
  <si>
    <t>📉 ATTRITION RATE</t>
  </si>
  <si>
    <t>All Staff</t>
  </si>
  <si>
    <t>Currently Working</t>
  </si>
  <si>
    <t>Net Salary</t>
  </si>
  <si>
    <t>Score</t>
  </si>
  <si>
    <t>📅 AVG ATTENDANCE</t>
  </si>
  <si>
    <t>🚪 RESIGNED</t>
  </si>
  <si>
    <t>🏖 ON LEAVE</t>
  </si>
  <si>
    <t>💳 AVG NET SALARY</t>
  </si>
  <si>
    <t>🏆 TOP DEPT</t>
  </si>
  <si>
    <t>₹108K</t>
  </si>
  <si>
    <t>MARK</t>
  </si>
  <si>
    <t>Per Month</t>
  </si>
  <si>
    <t>Left Company</t>
  </si>
  <si>
    <t>Currently Away</t>
  </si>
  <si>
    <t>Per Employee</t>
  </si>
  <si>
    <t>Highest Perf</t>
  </si>
  <si>
    <t>Headcount</t>
  </si>
  <si>
    <t>Total Payroll (₹)</t>
  </si>
  <si>
    <t>🔍  DEPARTMENT-WISE DETAILED ANALYSIS</t>
  </si>
  <si>
    <t>Avg Net Salary (₹)</t>
  </si>
  <si>
    <t>Avg Performance %</t>
  </si>
  <si>
    <t>Avg Attendance</t>
  </si>
  <si>
    <t>Min Salary (₹)</t>
  </si>
  <si>
    <t>Max Salary (₹)</t>
  </si>
  <si>
    <t>Attrition %</t>
  </si>
  <si>
    <t>Dept</t>
  </si>
  <si>
    <t>AvgPerf</t>
  </si>
  <si>
    <t>TotalPayroll</t>
  </si>
  <si>
    <t>TOTAL / AVG</t>
  </si>
  <si>
    <t>📋  INSTRUCTIONS, FORMULA GUIDE &amp; KPI DEFINITIONS</t>
  </si>
  <si>
    <t>🗂️ WORKBOOK STRUCTURE</t>
  </si>
  <si>
    <t>🏠 Cover</t>
  </si>
  <si>
    <t>Landing page with navigation overview and key metrics summary</t>
  </si>
  <si>
    <t>350 rows of original employee data with intentional data quality issues</t>
  </si>
  <si>
    <t>Fully normalized data — all issues fixed using Excel formulas</t>
  </si>
  <si>
    <t>KPI cards, department tables, status &amp; rating breakdowns</t>
  </si>
  <si>
    <t>Detailed per-department analysis with bar charts</t>
  </si>
  <si>
    <t>This sheet — formulas used, KPI definitions, and notes</t>
  </si>
  <si>
    <t>📐 KEY FORMULAS USED</t>
  </si>
  <si>
    <t>PROPER()</t>
  </si>
  <si>
    <t>Converts 'AMIT SHARMA' → 'Amit Sharma'. Applied to Employee Name column.</t>
  </si>
  <si>
    <t>UPPER()</t>
  </si>
  <si>
    <t>Converts department names to uppercase: 'engineering' → 'ENGINEERING'.</t>
  </si>
  <si>
    <t>TRIM()</t>
  </si>
  <si>
    <t>Removes extra spaces from Name, Department, City columns.</t>
  </si>
  <si>
    <t>IF() / OR()</t>
  </si>
  <si>
    <t>Gender normalization: IF(OR(D='M','m'),'Male', IF(OR(D='F','f'),'Female',…))</t>
  </si>
  <si>
    <t>ABS()</t>
  </si>
  <si>
    <t>Converts negative attendance values to positive (data entry fix).</t>
  </si>
  <si>
    <t>TEXT() / DATEVALUE()</t>
  </si>
  <si>
    <t>Normalizes date formats — handles both serial numbers and text dates.</t>
  </si>
  <si>
    <t>IFERROR()</t>
  </si>
  <si>
    <t>Wraps date formulas to gracefully handle unparseable values.</t>
  </si>
  <si>
    <t>SUMIFS()</t>
  </si>
  <si>
    <t>Dashboard: Total payroll per department filtered by Employment Status.</t>
  </si>
  <si>
    <t>COUNTIFS()</t>
  </si>
  <si>
    <t>Dashboard: Active headcount per department.</t>
  </si>
  <si>
    <t>AVERAGEIFS()</t>
  </si>
  <si>
    <t>Dashboard: Avg performance score per department for active employees only.</t>
  </si>
  <si>
    <t>📊 KPI DEFINITIONS</t>
  </si>
  <si>
    <t>Total Employees</t>
  </si>
  <si>
    <t>COUNT of all records in the Clean Data sheet (350 total).</t>
  </si>
  <si>
    <t>Active Employees</t>
  </si>
  <si>
    <t>COUNTIF(Status='Active') — currently working employees.</t>
  </si>
  <si>
    <t>SUM of Net Salary column for all employees.</t>
  </si>
  <si>
    <t>AVERAGE of Performance Score (%) across all 350 employees.</t>
  </si>
  <si>
    <t>Attrition Rate (%)</t>
  </si>
  <si>
    <t>Resigned ÷ Total Employees × 100. Measure of voluntary exits.</t>
  </si>
  <si>
    <t>AVERAGE of Attendance Days (Cleaned) column.</t>
  </si>
  <si>
    <t>Avg Net Salary</t>
  </si>
  <si>
    <t>AVERAGE of Net Salary (₹) across all employees.</t>
  </si>
  <si>
    <t>⚠️ DATA ISSUES FIXED</t>
  </si>
  <si>
    <t>Inconsistent Case</t>
  </si>
  <si>
    <t>Names like 'KAVITA', 'arun' fixed using PROPER() / UPPER()</t>
  </si>
  <si>
    <t>Negative Attendance</t>
  </si>
  <si>
    <t>ABS() applied to correct data entry errors like -24, -15, -22</t>
  </si>
  <si>
    <t>Date Format Errors</t>
  </si>
  <si>
    <t>Dates like '01/5/2019' and Excel serials unified to DD-MMM-YYYY</t>
  </si>
  <si>
    <t>Gender Abbreviations</t>
  </si>
  <si>
    <t>'M'/'F' expanded to 'Male'/'Female' using IF/OR logic</t>
  </si>
  <si>
    <t>Missing Basic Salary</t>
  </si>
  <si>
    <t>Empty basic salary cells replaced with 0 using IFERROR(VALUE,0)</t>
  </si>
  <si>
    <t>Dept Case Mismatch</t>
  </si>
  <si>
    <t>'finance','FINANCE' all normalized to 'FINANCE' using UPPER/TRIM</t>
  </si>
  <si>
    <r>
      <rPr>
        <b/>
        <sz val="26"/>
        <color rgb="FFFFD700"/>
        <rFont val="Arial"/>
        <family val="2"/>
      </rPr>
      <t xml:space="preserve">📊  </t>
    </r>
    <r>
      <rPr>
        <b/>
        <u/>
        <sz val="26"/>
        <color rgb="FFFFD700"/>
        <rFont val="Arial"/>
        <family val="2"/>
      </rPr>
      <t xml:space="preserve"> EMPLOYEE PERFORMANCE &amp; PAYROLL MANAGEMENT SYSTEM</t>
    </r>
  </si>
  <si>
    <t xml:space="preserve">Department </t>
  </si>
  <si>
    <t xml:space="preserve">Gender </t>
  </si>
  <si>
    <t xml:space="preserve">Employee Name </t>
  </si>
  <si>
    <t xml:space="preserve">Date of Joining </t>
  </si>
  <si>
    <t xml:space="preserve">City </t>
  </si>
  <si>
    <t xml:space="preserve">✅  CLEAN DATA — Normalized &amp; Validated </t>
  </si>
  <si>
    <t>📊 KPIs TRACKED
10</t>
  </si>
  <si>
    <t xml:space="preserve">Attendance Days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</si>
</sst>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h:mm:ss"/>
    <numFmt numFmtId="165" formatCode="\₹#,##0"/>
    <numFmt numFmtId="166" formatCode="0.0\%"/>
  </numFmts>
  <fonts count="28">
    <font>
      <sz val="11"/>
      <color theme="1"/>
      <name val="Calibri"/>
      <family val="2"/>
      <charset val="1"/>
    </font>
    <font>
      <b/>
      <sz val="26"/>
      <color rgb="FFFFD700"/>
      <name val="Arial"/>
      <family val="2"/>
    </font>
    <font>
      <i/>
      <sz val="14"/>
      <color rgb="FFA8D8F0"/>
      <name val="Arial"/>
      <family val="2"/>
    </font>
    <font>
      <b/>
      <sz val="14"/>
      <color rgb="FFFFFFFF"/>
      <name val="Arial"/>
      <family val="2"/>
    </font>
    <font>
      <b/>
      <sz val="13"/>
      <color rgb="FFFFD700"/>
      <name val="Arial"/>
      <family val="2"/>
    </font>
    <font>
      <b/>
      <sz val="11"/>
      <color rgb="FFFFFFFF"/>
      <name val="Arial"/>
      <family val="2"/>
    </font>
    <font>
      <sz val="10"/>
      <color rgb="FFC8E6FF"/>
      <name val="Arial"/>
      <family val="2"/>
    </font>
    <font>
      <b/>
      <sz val="9"/>
      <color rgb="FFFFFFFF"/>
      <name val="Arial"/>
      <family val="2"/>
    </font>
    <font>
      <b/>
      <sz val="10"/>
      <color rgb="FFFFD700"/>
      <name val="Arial"/>
      <family val="2"/>
    </font>
    <font>
      <sz val="9"/>
      <color rgb="FF0D1B2A"/>
      <name val="Arial"/>
      <family val="2"/>
    </font>
    <font>
      <b/>
      <sz val="16"/>
      <color rgb="FFFFFFFF"/>
      <name val="Arial"/>
      <family val="2"/>
    </font>
    <font>
      <b/>
      <sz val="9"/>
      <color rgb="FFFFFF88"/>
      <name val="Arial"/>
      <family val="2"/>
    </font>
    <font>
      <b/>
      <sz val="22"/>
      <color rgb="FFFFFFFF"/>
      <name val="Arial"/>
      <family val="2"/>
    </font>
    <font>
      <i/>
      <sz val="9"/>
      <color rgb="FFFFFFAA"/>
      <name val="Arial"/>
      <family val="2"/>
    </font>
    <font>
      <b/>
      <sz val="20"/>
      <color rgb="FFFFFFFF"/>
      <name val="Arial"/>
      <family val="2"/>
    </font>
    <font>
      <b/>
      <sz val="12"/>
      <color rgb="FFFFD700"/>
      <name val="Arial"/>
      <family val="2"/>
    </font>
    <font>
      <b/>
      <sz val="11"/>
      <color rgb="FFFFD700"/>
      <name val="Arial"/>
      <family val="2"/>
    </font>
    <font>
      <b/>
      <sz val="14"/>
      <color rgb="FFFFD700"/>
      <name val="Arial"/>
      <family val="2"/>
    </font>
    <font>
      <sz val="11"/>
      <color rgb="FF0D1B2A"/>
      <name val="Arial"/>
      <family val="2"/>
    </font>
    <font>
      <b/>
      <sz val="10"/>
      <color rgb="FF00BCD4"/>
      <name val="Arial"/>
      <family val="2"/>
    </font>
    <font>
      <sz val="10"/>
      <color rgb="FFD0E8FF"/>
      <name val="Arial"/>
      <family val="2"/>
    </font>
    <font>
      <b/>
      <sz val="9"/>
      <color theme="1"/>
      <name val="Arial"/>
      <family val="2"/>
    </font>
    <font>
      <sz val="11"/>
      <color theme="3" tint="0.59999389629810485"/>
      <name val="Calibri"/>
      <family val="2"/>
      <charset val="1"/>
    </font>
    <font>
      <b/>
      <sz val="9"/>
      <color rgb="FFFFFF00"/>
      <name val="Arial"/>
      <family val="2"/>
    </font>
    <font>
      <i/>
      <sz val="9"/>
      <color rgb="FFFFFF00"/>
      <name val="Arial"/>
      <family val="2"/>
    </font>
    <font>
      <b/>
      <u/>
      <sz val="26"/>
      <color rgb="FFFFD700"/>
      <name val="Arial"/>
      <family val="2"/>
    </font>
    <font>
      <sz val="11"/>
      <color rgb="FF000000"/>
      <name val="Calibri"/>
      <family val="2"/>
    </font>
    <font>
      <u/>
      <sz val="11"/>
      <color theme="10"/>
      <name val="Calibri"/>
      <family val="2"/>
      <charset val="1"/>
    </font>
  </fonts>
  <fills count="36">
    <fill>
      <patternFill patternType="none"/>
    </fill>
    <fill>
      <patternFill patternType="gray125"/>
    </fill>
    <fill>
      <patternFill patternType="solid">
        <fgColor rgb="FF2196F3"/>
        <bgColor rgb="FF00BCD4"/>
      </patternFill>
    </fill>
    <fill>
      <patternFill patternType="solid">
        <fgColor rgb="FF0D1B2A"/>
        <bgColor rgb="FF0B1729"/>
      </patternFill>
    </fill>
    <fill>
      <patternFill patternType="solid">
        <fgColor rgb="FF4CAF50"/>
        <bgColor rgb="FF388E3C"/>
      </patternFill>
    </fill>
    <fill>
      <patternFill patternType="solid">
        <fgColor rgb="FFFF9800"/>
        <bgColor rgb="FFF57F17"/>
      </patternFill>
    </fill>
    <fill>
      <patternFill patternType="solid">
        <fgColor rgb="FF00BCD4"/>
        <bgColor rgb="FF2196F3"/>
      </patternFill>
    </fill>
    <fill>
      <patternFill patternType="solid">
        <fgColor rgb="FF1E3A5F"/>
        <bgColor rgb="FF1B2A4A"/>
      </patternFill>
    </fill>
    <fill>
      <patternFill patternType="solid">
        <fgColor rgb="FF162540"/>
        <bgColor rgb="FF1B2A4A"/>
      </patternFill>
    </fill>
    <fill>
      <patternFill patternType="solid">
        <fgColor rgb="FF9C27B0"/>
        <bgColor rgb="FF6A1B9A"/>
      </patternFill>
    </fill>
    <fill>
      <patternFill patternType="solid">
        <fgColor rgb="FF607D8B"/>
        <bgColor rgb="FF878787"/>
      </patternFill>
    </fill>
    <fill>
      <patternFill patternType="solid">
        <fgColor rgb="FF1B2A4A"/>
        <bgColor rgb="FF162540"/>
      </patternFill>
    </fill>
    <fill>
      <patternFill patternType="solid">
        <fgColor rgb="FFE8F4FD"/>
        <bgColor rgb="FFE8F4FF"/>
      </patternFill>
    </fill>
    <fill>
      <patternFill patternType="solid">
        <fgColor rgb="FF2E7D32"/>
        <bgColor rgb="FF388E3C"/>
      </patternFill>
    </fill>
    <fill>
      <patternFill patternType="solid">
        <fgColor rgb="FF1B5E20"/>
        <bgColor rgb="FF2E5A3A"/>
      </patternFill>
    </fill>
    <fill>
      <patternFill patternType="solid">
        <fgColor rgb="FFFFFFFF"/>
        <bgColor rgb="FFF9F9F9"/>
      </patternFill>
    </fill>
    <fill>
      <patternFill patternType="solid">
        <fgColor rgb="FF1565C0"/>
        <bgColor rgb="FF00695C"/>
      </patternFill>
    </fill>
    <fill>
      <patternFill patternType="solid">
        <fgColor rgb="FFE65100"/>
        <bgColor rgb="FFF44336"/>
      </patternFill>
    </fill>
    <fill>
      <patternFill patternType="solid">
        <fgColor rgb="FF6A1B9A"/>
        <bgColor rgb="FF800080"/>
      </patternFill>
    </fill>
    <fill>
      <patternFill patternType="solid">
        <fgColor rgb="FFB71C1C"/>
        <bgColor rgb="FFE91E63"/>
      </patternFill>
    </fill>
    <fill>
      <patternFill patternType="solid">
        <fgColor rgb="FF00695C"/>
        <bgColor rgb="FF1B5E20"/>
      </patternFill>
    </fill>
    <fill>
      <patternFill patternType="solid">
        <fgColor rgb="FF1B3A2A"/>
        <bgColor rgb="FF1B2A4A"/>
      </patternFill>
    </fill>
    <fill>
      <patternFill patternType="solid">
        <fgColor rgb="FFF0FFF4"/>
        <bgColor rgb="FFF9F9F9"/>
      </patternFill>
    </fill>
    <fill>
      <patternFill patternType="solid">
        <fgColor rgb="FFF44336"/>
        <bgColor rgb="FFE65100"/>
      </patternFill>
    </fill>
    <fill>
      <patternFill patternType="solid">
        <fgColor rgb="FFE8F4FF"/>
        <bgColor rgb="FFE8F4FD"/>
      </patternFill>
    </fill>
    <fill>
      <patternFill patternType="solid">
        <fgColor rgb="FF0F1E33"/>
        <bgColor rgb="FF0D1B2A"/>
      </patternFill>
    </fill>
    <fill>
      <patternFill patternType="solid">
        <fgColor rgb="FF0B1729"/>
        <bgColor rgb="FF0D1B2A"/>
      </patternFill>
    </fill>
    <fill>
      <patternFill patternType="solid">
        <fgColor theme="7" tint="0.39997558519241921"/>
        <bgColor rgb="FFE65100"/>
      </patternFill>
    </fill>
    <fill>
      <patternFill patternType="solid">
        <fgColor theme="7" tint="0.39997558519241921"/>
        <bgColor rgb="FFE91E63"/>
      </patternFill>
    </fill>
    <fill>
      <patternFill patternType="solid">
        <fgColor theme="3" tint="0.39997558519241921"/>
        <bgColor rgb="FF0B1729"/>
      </patternFill>
    </fill>
    <fill>
      <patternFill patternType="solid">
        <fgColor rgb="FFFF0000"/>
        <bgColor rgb="FFF57F17"/>
      </patternFill>
    </fill>
    <fill>
      <patternFill patternType="solid">
        <fgColor rgb="FF92D05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bgColor rgb="FF0B1729"/>
      </patternFill>
    </fill>
    <fill>
      <patternFill patternType="solid">
        <fgColor rgb="FF33CCCC"/>
        <bgColor indexed="64"/>
      </patternFill>
    </fill>
  </fills>
  <borders count="28">
    <border>
      <left/>
      <right/>
      <top/>
      <bottom/>
      <diagonal/>
    </border>
    <border>
      <left style="thin">
        <color rgb="FF1E3A5F"/>
      </left>
      <right style="thin">
        <color rgb="FF1E3A5F"/>
      </right>
      <top style="thin">
        <color rgb="FF1E3A5F"/>
      </top>
      <bottom style="thin">
        <color rgb="FF1E3A5F"/>
      </bottom>
      <diagonal/>
    </border>
    <border>
      <left style="thin">
        <color rgb="FFD0E8FF"/>
      </left>
      <right style="thin">
        <color rgb="FFD0E8FF"/>
      </right>
      <top style="thin">
        <color rgb="FFD0E8FF"/>
      </top>
      <bottom style="thin">
        <color rgb="FFD0E8FF"/>
      </bottom>
      <diagonal/>
    </border>
    <border>
      <left style="thin">
        <color rgb="FF2E5A3A"/>
      </left>
      <right style="thin">
        <color rgb="FF2E5A3A"/>
      </right>
      <top style="thin">
        <color rgb="FF2E5A3A"/>
      </top>
      <bottom style="thin">
        <color rgb="FF2E5A3A"/>
      </bottom>
      <diagonal/>
    </border>
    <border>
      <left style="thin">
        <color rgb="FFC8E6C9"/>
      </left>
      <right style="thin">
        <color rgb="FFC8E6C9"/>
      </right>
      <top style="thin">
        <color rgb="FFC8E6C9"/>
      </top>
      <bottom style="thin">
        <color rgb="FFC8E6C9"/>
      </bottom>
      <diagonal/>
    </border>
    <border>
      <left style="thin">
        <color rgb="FF2196F3"/>
      </left>
      <right style="thin">
        <color rgb="FF2196F3"/>
      </right>
      <top style="thin">
        <color rgb="FF2196F3"/>
      </top>
      <bottom style="thin">
        <color rgb="FF2196F3"/>
      </bottom>
      <diagonal/>
    </border>
    <border>
      <left style="thin">
        <color rgb="FFB0C8FF"/>
      </left>
      <right style="thin">
        <color rgb="FFB0C8FF"/>
      </right>
      <top style="thin">
        <color rgb="FFB0C8FF"/>
      </top>
      <bottom style="thin">
        <color rgb="FFB0C8FF"/>
      </bottom>
      <diagonal/>
    </border>
    <border>
      <left style="medium">
        <color rgb="FF2196F3"/>
      </left>
      <right style="medium">
        <color rgb="FF2196F3"/>
      </right>
      <top style="medium">
        <color rgb="FF2196F3"/>
      </top>
      <bottom style="medium">
        <color rgb="FF2196F3"/>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thin">
        <color rgb="FF2E5A3A"/>
      </right>
      <top style="thin">
        <color rgb="FF2E5A3A"/>
      </top>
      <bottom style="thin">
        <color rgb="FF2E5A3A"/>
      </bottom>
      <diagonal/>
    </border>
    <border>
      <left style="thin">
        <color rgb="FF2E5A3A"/>
      </left>
      <right style="medium">
        <color indexed="64"/>
      </right>
      <top style="thin">
        <color rgb="FF2E5A3A"/>
      </top>
      <bottom style="thin">
        <color rgb="FF2E5A3A"/>
      </bottom>
      <diagonal/>
    </border>
    <border>
      <left style="medium">
        <color indexed="64"/>
      </left>
      <right style="thin">
        <color rgb="FFC8E6C9"/>
      </right>
      <top style="thin">
        <color rgb="FFC8E6C9"/>
      </top>
      <bottom style="thin">
        <color rgb="FFC8E6C9"/>
      </bottom>
      <diagonal/>
    </border>
    <border>
      <left style="thin">
        <color rgb="FFC8E6C9"/>
      </left>
      <right style="medium">
        <color indexed="64"/>
      </right>
      <top style="thin">
        <color rgb="FFC8E6C9"/>
      </top>
      <bottom style="thin">
        <color rgb="FFC8E6C9"/>
      </bottom>
      <diagonal/>
    </border>
    <border>
      <left/>
      <right/>
      <top/>
      <bottom style="thin">
        <color rgb="FF1E3A5F"/>
      </bottom>
      <diagonal/>
    </border>
    <border>
      <left/>
      <right/>
      <top style="thin">
        <color rgb="FF1E3A5F"/>
      </top>
      <bottom/>
      <diagonal/>
    </border>
    <border>
      <left/>
      <right/>
      <top style="thin">
        <color rgb="FF1E3A5F"/>
      </top>
      <bottom style="medium">
        <color indexed="64"/>
      </bottom>
      <diagonal/>
    </border>
    <border>
      <left style="thin">
        <color rgb="FF1E3A5F"/>
      </left>
      <right/>
      <top style="thin">
        <color rgb="FF1E3A5F"/>
      </top>
      <bottom style="thin">
        <color rgb="FF1E3A5F"/>
      </bottom>
      <diagonal/>
    </border>
    <border>
      <left style="thin">
        <color rgb="FFD0E8FF"/>
      </left>
      <right/>
      <top style="thin">
        <color rgb="FFD0E8FF"/>
      </top>
      <bottom style="thin">
        <color rgb="FFD0E8FF"/>
      </bottom>
      <diagonal/>
    </border>
  </borders>
  <cellStyleXfs count="2">
    <xf numFmtId="0" fontId="0" fillId="0" borderId="0"/>
    <xf numFmtId="0" fontId="27" fillId="0" borderId="0" applyNumberFormat="0" applyFill="0" applyBorder="0" applyAlignment="0" applyProtection="0"/>
  </cellStyleXfs>
  <cellXfs count="190">
    <xf numFmtId="0" fontId="0" fillId="0" borderId="0" xfId="0"/>
    <xf numFmtId="0" fontId="0" fillId="2" borderId="0" xfId="0" applyFill="1"/>
    <xf numFmtId="0" fontId="0" fillId="3" borderId="0" xfId="0" applyFill="1"/>
    <xf numFmtId="0" fontId="8" fillId="11" borderId="1" xfId="0" applyFont="1" applyFill="1" applyBorder="1" applyAlignment="1">
      <alignment horizontal="center" vertical="center" wrapText="1"/>
    </xf>
    <xf numFmtId="0" fontId="9" fillId="12" borderId="2" xfId="0" applyFont="1" applyFill="1" applyBorder="1" applyAlignment="1">
      <alignment horizontal="center" vertical="center"/>
    </xf>
    <xf numFmtId="0" fontId="7" fillId="13" borderId="2" xfId="0" applyFont="1" applyFill="1" applyBorder="1" applyAlignment="1">
      <alignment horizontal="center" vertical="center"/>
    </xf>
    <xf numFmtId="0" fontId="7" fillId="14" borderId="2" xfId="0" applyFont="1" applyFill="1" applyBorder="1" applyAlignment="1">
      <alignment horizontal="center" vertical="center"/>
    </xf>
    <xf numFmtId="0" fontId="9" fillId="15" borderId="2" xfId="0" applyFont="1" applyFill="1" applyBorder="1" applyAlignment="1">
      <alignment horizontal="center" vertical="center"/>
    </xf>
    <xf numFmtId="0" fontId="7" fillId="16" borderId="2" xfId="0" applyFont="1" applyFill="1" applyBorder="1" applyAlignment="1">
      <alignment horizontal="center" vertical="center"/>
    </xf>
    <xf numFmtId="164" fontId="9" fillId="15" borderId="2" xfId="0" applyNumberFormat="1" applyFont="1" applyFill="1" applyBorder="1" applyAlignment="1">
      <alignment horizontal="center" vertical="center"/>
    </xf>
    <xf numFmtId="0" fontId="7" fillId="17" borderId="2" xfId="0" applyFont="1" applyFill="1" applyBorder="1" applyAlignment="1">
      <alignment horizontal="center" vertical="center"/>
    </xf>
    <xf numFmtId="0" fontId="7" fillId="18" borderId="2" xfId="0" applyFont="1" applyFill="1" applyBorder="1" applyAlignment="1">
      <alignment horizontal="center" vertical="center"/>
    </xf>
    <xf numFmtId="164" fontId="9" fillId="12" borderId="2" xfId="0" applyNumberFormat="1" applyFont="1" applyFill="1" applyBorder="1" applyAlignment="1">
      <alignment horizontal="center" vertical="center"/>
    </xf>
    <xf numFmtId="0" fontId="7" fillId="19" borderId="2" xfId="0" applyFont="1" applyFill="1" applyBorder="1" applyAlignment="1">
      <alignment horizontal="center" vertical="center"/>
    </xf>
    <xf numFmtId="0" fontId="7" fillId="20" borderId="2" xfId="0" applyFont="1" applyFill="1" applyBorder="1" applyAlignment="1">
      <alignment horizontal="center" vertical="center"/>
    </xf>
    <xf numFmtId="0" fontId="8" fillId="21" borderId="3" xfId="0" applyFont="1" applyFill="1" applyBorder="1" applyAlignment="1">
      <alignment horizontal="center" vertical="center" wrapText="1"/>
    </xf>
    <xf numFmtId="0" fontId="9" fillId="22" borderId="4" xfId="0" applyFont="1" applyFill="1" applyBorder="1" applyAlignment="1">
      <alignment horizontal="center" vertical="center"/>
    </xf>
    <xf numFmtId="0" fontId="7" fillId="13" borderId="4" xfId="0" applyFont="1" applyFill="1" applyBorder="1" applyAlignment="1">
      <alignment horizontal="center" vertical="center"/>
    </xf>
    <xf numFmtId="165" fontId="9" fillId="22" borderId="4" xfId="0" applyNumberFormat="1" applyFont="1" applyFill="1" applyBorder="1" applyAlignment="1">
      <alignment horizontal="center" vertical="center"/>
    </xf>
    <xf numFmtId="0" fontId="7" fillId="14" borderId="4" xfId="0" applyFont="1" applyFill="1" applyBorder="1" applyAlignment="1">
      <alignment horizontal="center" vertical="center"/>
    </xf>
    <xf numFmtId="0" fontId="9" fillId="15" borderId="4" xfId="0" applyFont="1" applyFill="1" applyBorder="1" applyAlignment="1">
      <alignment horizontal="center" vertical="center"/>
    </xf>
    <xf numFmtId="0" fontId="8" fillId="11" borderId="5" xfId="0" applyFont="1" applyFill="1" applyBorder="1" applyAlignment="1">
      <alignment horizontal="center" vertical="center" wrapText="1"/>
    </xf>
    <xf numFmtId="0" fontId="5" fillId="16" borderId="6" xfId="0" applyFont="1" applyFill="1" applyBorder="1" applyAlignment="1">
      <alignment horizontal="center" vertical="center"/>
    </xf>
    <xf numFmtId="0" fontId="18" fillId="24" borderId="6" xfId="0" applyFont="1" applyFill="1" applyBorder="1" applyAlignment="1">
      <alignment horizontal="center" vertical="center"/>
    </xf>
    <xf numFmtId="165" fontId="18" fillId="24" borderId="6" xfId="0" applyNumberFormat="1" applyFont="1" applyFill="1" applyBorder="1" applyAlignment="1">
      <alignment horizontal="center" vertical="center"/>
    </xf>
    <xf numFmtId="166" fontId="18" fillId="24" borderId="6" xfId="0" applyNumberFormat="1" applyFont="1" applyFill="1" applyBorder="1" applyAlignment="1">
      <alignment horizontal="center" vertical="center"/>
    </xf>
    <xf numFmtId="0" fontId="5" fillId="13" borderId="6" xfId="0" applyFont="1" applyFill="1" applyBorder="1" applyAlignment="1">
      <alignment horizontal="center" vertical="center"/>
    </xf>
    <xf numFmtId="0" fontId="18" fillId="15" borderId="6" xfId="0" applyFont="1" applyFill="1" applyBorder="1" applyAlignment="1">
      <alignment horizontal="center" vertical="center"/>
    </xf>
    <xf numFmtId="165" fontId="18" fillId="15" borderId="6" xfId="0" applyNumberFormat="1" applyFont="1" applyFill="1" applyBorder="1" applyAlignment="1">
      <alignment horizontal="center" vertical="center"/>
    </xf>
    <xf numFmtId="166" fontId="18" fillId="15" borderId="6" xfId="0" applyNumberFormat="1" applyFont="1" applyFill="1" applyBorder="1" applyAlignment="1">
      <alignment horizontal="center" vertical="center"/>
    </xf>
    <xf numFmtId="0" fontId="5" fillId="18" borderId="6" xfId="0" applyFont="1" applyFill="1" applyBorder="1" applyAlignment="1">
      <alignment horizontal="center" vertical="center"/>
    </xf>
    <xf numFmtId="0" fontId="5" fillId="17" borderId="6" xfId="0" applyFont="1" applyFill="1" applyBorder="1" applyAlignment="1">
      <alignment horizontal="center" vertical="center"/>
    </xf>
    <xf numFmtId="0" fontId="5" fillId="20" borderId="6" xfId="0" applyFont="1" applyFill="1" applyBorder="1" applyAlignment="1">
      <alignment horizontal="center" vertical="center"/>
    </xf>
    <xf numFmtId="0" fontId="5" fillId="19" borderId="6" xfId="0" applyFont="1" applyFill="1" applyBorder="1" applyAlignment="1">
      <alignment horizontal="center" vertical="center"/>
    </xf>
    <xf numFmtId="0" fontId="16" fillId="11" borderId="7" xfId="0" applyFont="1" applyFill="1" applyBorder="1" applyAlignment="1">
      <alignment horizontal="center" vertical="center"/>
    </xf>
    <xf numFmtId="165" fontId="16" fillId="11" borderId="7" xfId="0" applyNumberFormat="1" applyFont="1" applyFill="1" applyBorder="1" applyAlignment="1">
      <alignment horizontal="center" vertical="center"/>
    </xf>
    <xf numFmtId="0" fontId="19" fillId="7" borderId="1" xfId="0" applyFont="1" applyFill="1" applyBorder="1" applyAlignment="1">
      <alignment horizontal="left" vertical="center" wrapText="1"/>
    </xf>
    <xf numFmtId="0" fontId="20" fillId="25" borderId="1" xfId="0" applyFont="1" applyFill="1" applyBorder="1" applyAlignment="1">
      <alignment horizontal="left" vertical="center" wrapText="1"/>
    </xf>
    <xf numFmtId="0" fontId="19" fillId="8" borderId="1" xfId="0" applyFont="1" applyFill="1" applyBorder="1" applyAlignment="1">
      <alignment horizontal="left" vertical="center" wrapText="1"/>
    </xf>
    <xf numFmtId="0" fontId="20" fillId="26" borderId="1" xfId="0" applyFont="1" applyFill="1" applyBorder="1" applyAlignment="1">
      <alignment horizontal="left" vertical="center" wrapText="1"/>
    </xf>
    <xf numFmtId="0" fontId="0" fillId="0" borderId="0" xfId="0" applyAlignment="1">
      <alignment horizontal="center"/>
    </xf>
    <xf numFmtId="0" fontId="0" fillId="0" borderId="14" xfId="0" applyBorder="1"/>
    <xf numFmtId="0" fontId="7" fillId="0" borderId="0" xfId="0" applyFont="1" applyAlignment="1">
      <alignment vertical="center"/>
    </xf>
    <xf numFmtId="0" fontId="0" fillId="31" borderId="14" xfId="0" applyFill="1" applyBorder="1" applyAlignment="1">
      <alignment horizontal="center" vertical="center"/>
    </xf>
    <xf numFmtId="0" fontId="0" fillId="32" borderId="10" xfId="0" applyFill="1" applyBorder="1"/>
    <xf numFmtId="0" fontId="0" fillId="32" borderId="12" xfId="0" applyFill="1" applyBorder="1"/>
    <xf numFmtId="0" fontId="0" fillId="32" borderId="0" xfId="0" applyFill="1"/>
    <xf numFmtId="0" fontId="0" fillId="32" borderId="11" xfId="0" applyFill="1" applyBorder="1"/>
    <xf numFmtId="0" fontId="7" fillId="32" borderId="0" xfId="0" applyFont="1" applyFill="1" applyAlignment="1">
      <alignment vertical="center"/>
    </xf>
    <xf numFmtId="0" fontId="7" fillId="32" borderId="11" xfId="0" applyFont="1" applyFill="1" applyBorder="1" applyAlignment="1">
      <alignment vertical="center"/>
    </xf>
    <xf numFmtId="0" fontId="0" fillId="32" borderId="16" xfId="0" applyFill="1" applyBorder="1"/>
    <xf numFmtId="0" fontId="0" fillId="32" borderId="13" xfId="0" applyFill="1" applyBorder="1"/>
    <xf numFmtId="0" fontId="8" fillId="21" borderId="19" xfId="0" applyFont="1" applyFill="1" applyBorder="1" applyAlignment="1">
      <alignment horizontal="center" vertical="center" wrapText="1"/>
    </xf>
    <xf numFmtId="0" fontId="8" fillId="21" borderId="20" xfId="0" applyFont="1" applyFill="1" applyBorder="1" applyAlignment="1">
      <alignment horizontal="center" vertical="center" wrapText="1"/>
    </xf>
    <xf numFmtId="0" fontId="9" fillId="22" borderId="21" xfId="0" applyFont="1" applyFill="1" applyBorder="1" applyAlignment="1">
      <alignment horizontal="center" vertical="center"/>
    </xf>
    <xf numFmtId="0" fontId="7" fillId="14" borderId="22" xfId="0" applyFont="1" applyFill="1" applyBorder="1" applyAlignment="1">
      <alignment horizontal="center" vertical="center"/>
    </xf>
    <xf numFmtId="0" fontId="19" fillId="7" borderId="1" xfId="0" applyFont="1" applyFill="1" applyBorder="1" applyAlignment="1">
      <alignment horizontal="center" vertical="center" wrapText="1"/>
    </xf>
    <xf numFmtId="0" fontId="20" fillId="25" borderId="1" xfId="0" applyFont="1" applyFill="1" applyBorder="1" applyAlignment="1">
      <alignment horizontal="center" vertical="center" wrapText="1"/>
    </xf>
    <xf numFmtId="0" fontId="19" fillId="8" borderId="1" xfId="0" applyFont="1" applyFill="1" applyBorder="1" applyAlignment="1">
      <alignment horizontal="center" vertical="center" wrapText="1"/>
    </xf>
    <xf numFmtId="0" fontId="20" fillId="26" borderId="1" xfId="0" applyFont="1" applyFill="1" applyBorder="1" applyAlignment="1">
      <alignment horizontal="center" vertical="center" wrapText="1"/>
    </xf>
    <xf numFmtId="0" fontId="0" fillId="33" borderId="10" xfId="0" applyFill="1" applyBorder="1"/>
    <xf numFmtId="0" fontId="0" fillId="33" borderId="12" xfId="0" applyFill="1" applyBorder="1"/>
    <xf numFmtId="0" fontId="0" fillId="33" borderId="0" xfId="0" applyFill="1" applyAlignment="1">
      <alignment horizontal="center"/>
    </xf>
    <xf numFmtId="0" fontId="0" fillId="33" borderId="11" xfId="0" applyFill="1" applyBorder="1" applyAlignment="1">
      <alignment horizontal="center"/>
    </xf>
    <xf numFmtId="0" fontId="0" fillId="33" borderId="11" xfId="0" applyFill="1" applyBorder="1"/>
    <xf numFmtId="0" fontId="0" fillId="33" borderId="13" xfId="0" applyFill="1" applyBorder="1"/>
    <xf numFmtId="0" fontId="8" fillId="21" borderId="14" xfId="0" applyFont="1" applyFill="1" applyBorder="1" applyAlignment="1">
      <alignment horizontal="center" vertical="center" wrapText="1"/>
    </xf>
    <xf numFmtId="165" fontId="9" fillId="0" borderId="4" xfId="0" applyNumberFormat="1" applyFont="1" applyBorder="1" applyAlignment="1">
      <alignment horizontal="center" vertical="center"/>
    </xf>
    <xf numFmtId="0" fontId="9" fillId="0" borderId="14" xfId="0" applyFont="1" applyBorder="1" applyAlignment="1">
      <alignment horizontal="center" vertical="center"/>
    </xf>
    <xf numFmtId="0" fontId="21" fillId="0" borderId="14" xfId="0" applyFont="1" applyBorder="1" applyAlignment="1">
      <alignment horizontal="center" vertical="center"/>
    </xf>
    <xf numFmtId="0" fontId="9" fillId="0" borderId="0" xfId="0" applyFont="1" applyAlignment="1">
      <alignment horizontal="center" vertical="center"/>
    </xf>
    <xf numFmtId="0" fontId="21" fillId="0" borderId="0" xfId="0" applyFont="1" applyAlignment="1">
      <alignment horizontal="center" vertical="center"/>
    </xf>
    <xf numFmtId="0" fontId="8" fillId="21" borderId="18" xfId="0" applyFont="1" applyFill="1" applyBorder="1" applyAlignment="1">
      <alignment horizontal="center" vertical="center" wrapText="1"/>
    </xf>
    <xf numFmtId="0" fontId="9" fillId="0" borderId="17" xfId="0" applyFont="1" applyBorder="1" applyAlignment="1">
      <alignment horizontal="center" vertical="center"/>
    </xf>
    <xf numFmtId="0" fontId="10" fillId="0" borderId="0" xfId="0" applyFont="1" applyAlignment="1">
      <alignment vertical="center"/>
    </xf>
    <xf numFmtId="0" fontId="0" fillId="2" borderId="8" xfId="0" applyFill="1" applyBorder="1"/>
    <xf numFmtId="0" fontId="0" fillId="2" borderId="15" xfId="0" applyFill="1" applyBorder="1"/>
    <xf numFmtId="0" fontId="0" fillId="2" borderId="9" xfId="0" applyFill="1" applyBorder="1"/>
    <xf numFmtId="0" fontId="0" fillId="2" borderId="10" xfId="0" applyFill="1" applyBorder="1"/>
    <xf numFmtId="0" fontId="0" fillId="2" borderId="11" xfId="0" applyFill="1" applyBorder="1"/>
    <xf numFmtId="0" fontId="0" fillId="0" borderId="10" xfId="0" applyBorder="1"/>
    <xf numFmtId="0" fontId="22" fillId="34" borderId="0" xfId="0" applyFont="1" applyFill="1"/>
    <xf numFmtId="0" fontId="0" fillId="0" borderId="11" xfId="0" applyBorder="1"/>
    <xf numFmtId="0" fontId="0" fillId="34" borderId="0" xfId="0" applyFill="1"/>
    <xf numFmtId="0" fontId="11" fillId="0" borderId="0" xfId="0" applyFont="1" applyAlignment="1">
      <alignment horizontal="center" vertical="center"/>
    </xf>
    <xf numFmtId="0" fontId="12" fillId="0" borderId="0" xfId="0" applyFont="1" applyAlignment="1">
      <alignment horizontal="center" vertical="center"/>
    </xf>
    <xf numFmtId="0" fontId="13" fillId="0" borderId="0" xfId="0" applyFont="1" applyAlignment="1">
      <alignment horizontal="center" vertical="center"/>
    </xf>
    <xf numFmtId="0" fontId="14" fillId="0" borderId="0" xfId="0" applyFont="1" applyAlignment="1">
      <alignment horizontal="center" vertical="center"/>
    </xf>
    <xf numFmtId="0" fontId="10" fillId="0" borderId="11" xfId="0" applyFont="1" applyBorder="1" applyAlignment="1">
      <alignment vertical="center"/>
    </xf>
    <xf numFmtId="0" fontId="0" fillId="0" borderId="12" xfId="0" applyBorder="1"/>
    <xf numFmtId="0" fontId="10" fillId="0" borderId="16" xfId="0" applyFont="1" applyBorder="1" applyAlignment="1">
      <alignment vertical="center"/>
    </xf>
    <xf numFmtId="0" fontId="10" fillId="0" borderId="13" xfId="0" applyFont="1" applyBorder="1" applyAlignment="1">
      <alignment vertical="center"/>
    </xf>
    <xf numFmtId="0" fontId="8" fillId="11" borderId="26" xfId="0" applyFont="1" applyFill="1" applyBorder="1" applyAlignment="1">
      <alignment horizontal="center" vertical="center" wrapText="1"/>
    </xf>
    <xf numFmtId="0" fontId="7" fillId="14" borderId="27" xfId="0" applyFont="1" applyFill="1" applyBorder="1" applyAlignment="1">
      <alignment horizontal="center" vertical="center"/>
    </xf>
    <xf numFmtId="0" fontId="0" fillId="35" borderId="0" xfId="0" applyFill="1"/>
    <xf numFmtId="0" fontId="0" fillId="2" borderId="12" xfId="0" applyFill="1" applyBorder="1"/>
    <xf numFmtId="0" fontId="0" fillId="2" borderId="16" xfId="0" applyFill="1" applyBorder="1"/>
    <xf numFmtId="0" fontId="0" fillId="2" borderId="13" xfId="0" applyFill="1" applyBorder="1"/>
    <xf numFmtId="0" fontId="22" fillId="34" borderId="0" xfId="0" applyFont="1" applyFill="1" applyAlignment="1">
      <alignment horizontal="center"/>
    </xf>
    <xf numFmtId="0" fontId="0" fillId="0" borderId="0" xfId="0" applyAlignment="1">
      <alignment horizontal="center"/>
    </xf>
    <xf numFmtId="0" fontId="13" fillId="20" borderId="12" xfId="0" applyFont="1" applyFill="1" applyBorder="1" applyAlignment="1">
      <alignment horizontal="center" vertical="center"/>
    </xf>
    <xf numFmtId="0" fontId="13" fillId="20" borderId="13" xfId="0" applyFont="1" applyFill="1" applyBorder="1" applyAlignment="1">
      <alignment horizontal="center" vertical="center"/>
    </xf>
    <xf numFmtId="0" fontId="24" fillId="27" borderId="12" xfId="0" applyFont="1" applyFill="1" applyBorder="1" applyAlignment="1">
      <alignment horizontal="center" vertical="center"/>
    </xf>
    <xf numFmtId="0" fontId="24" fillId="27" borderId="13" xfId="0" applyFont="1" applyFill="1" applyBorder="1" applyAlignment="1">
      <alignment horizontal="center" vertical="center"/>
    </xf>
    <xf numFmtId="0" fontId="13" fillId="10" borderId="12" xfId="0" applyFont="1" applyFill="1" applyBorder="1" applyAlignment="1">
      <alignment horizontal="center" vertical="center"/>
    </xf>
    <xf numFmtId="0" fontId="13" fillId="10" borderId="13" xfId="0" applyFont="1" applyFill="1" applyBorder="1" applyAlignment="1">
      <alignment horizontal="center" vertical="center"/>
    </xf>
    <xf numFmtId="0" fontId="13" fillId="16" borderId="12" xfId="0" applyFont="1" applyFill="1" applyBorder="1" applyAlignment="1">
      <alignment horizontal="center" vertical="center"/>
    </xf>
    <xf numFmtId="0" fontId="13" fillId="16" borderId="13" xfId="0" applyFont="1" applyFill="1" applyBorder="1" applyAlignment="1">
      <alignment horizontal="center" vertical="center"/>
    </xf>
    <xf numFmtId="0" fontId="13" fillId="28" borderId="12" xfId="0" applyFont="1" applyFill="1" applyBorder="1" applyAlignment="1">
      <alignment horizontal="center" vertical="center"/>
    </xf>
    <xf numFmtId="0" fontId="13" fillId="28" borderId="13" xfId="0" applyFont="1" applyFill="1" applyBorder="1" applyAlignment="1">
      <alignment horizontal="center" vertical="center"/>
    </xf>
    <xf numFmtId="0" fontId="14" fillId="20" borderId="10" xfId="0" applyFont="1" applyFill="1" applyBorder="1" applyAlignment="1">
      <alignment horizontal="center" vertical="center"/>
    </xf>
    <xf numFmtId="0" fontId="14" fillId="20" borderId="11" xfId="0" applyFont="1" applyFill="1" applyBorder="1" applyAlignment="1">
      <alignment horizontal="center" vertical="center"/>
    </xf>
    <xf numFmtId="0" fontId="14" fillId="27" borderId="10" xfId="0" applyFont="1" applyFill="1" applyBorder="1" applyAlignment="1">
      <alignment horizontal="center" vertical="center"/>
    </xf>
    <xf numFmtId="0" fontId="14" fillId="27" borderId="11" xfId="0" applyFont="1" applyFill="1" applyBorder="1" applyAlignment="1">
      <alignment horizontal="center" vertical="center"/>
    </xf>
    <xf numFmtId="0" fontId="14" fillId="10" borderId="10" xfId="0" applyFont="1" applyFill="1" applyBorder="1" applyAlignment="1">
      <alignment horizontal="center" vertical="center"/>
    </xf>
    <xf numFmtId="0" fontId="14" fillId="10" borderId="11" xfId="0" applyFont="1" applyFill="1" applyBorder="1" applyAlignment="1">
      <alignment horizontal="center" vertical="center"/>
    </xf>
    <xf numFmtId="0" fontId="14" fillId="16" borderId="10" xfId="0" applyFont="1" applyFill="1" applyBorder="1" applyAlignment="1">
      <alignment horizontal="center" vertical="center"/>
    </xf>
    <xf numFmtId="0" fontId="14" fillId="16" borderId="11" xfId="0" applyFont="1" applyFill="1" applyBorder="1" applyAlignment="1">
      <alignment horizontal="center" vertical="center"/>
    </xf>
    <xf numFmtId="0" fontId="14" fillId="28" borderId="10" xfId="0" applyFont="1" applyFill="1" applyBorder="1" applyAlignment="1">
      <alignment horizontal="center" vertical="center"/>
    </xf>
    <xf numFmtId="0" fontId="14" fillId="28" borderId="11" xfId="0" applyFont="1" applyFill="1" applyBorder="1" applyAlignment="1">
      <alignment horizontal="center" vertical="center"/>
    </xf>
    <xf numFmtId="0" fontId="11" fillId="20" borderId="8" xfId="0" applyFont="1" applyFill="1" applyBorder="1" applyAlignment="1">
      <alignment horizontal="center" vertical="center"/>
    </xf>
    <xf numFmtId="0" fontId="11" fillId="20" borderId="9" xfId="0" applyFont="1" applyFill="1" applyBorder="1" applyAlignment="1">
      <alignment horizontal="center" vertical="center"/>
    </xf>
    <xf numFmtId="0" fontId="23" fillId="27" borderId="8" xfId="0" applyFont="1" applyFill="1" applyBorder="1" applyAlignment="1">
      <alignment horizontal="center" vertical="center"/>
    </xf>
    <xf numFmtId="0" fontId="23" fillId="27" borderId="9" xfId="0" applyFont="1" applyFill="1" applyBorder="1" applyAlignment="1">
      <alignment horizontal="center" vertical="center"/>
    </xf>
    <xf numFmtId="0" fontId="11" fillId="10" borderId="8" xfId="0" applyFont="1" applyFill="1" applyBorder="1" applyAlignment="1">
      <alignment horizontal="center" vertical="center"/>
    </xf>
    <xf numFmtId="0" fontId="11" fillId="10" borderId="9" xfId="0" applyFont="1" applyFill="1" applyBorder="1" applyAlignment="1">
      <alignment horizontal="center" vertical="center"/>
    </xf>
    <xf numFmtId="0" fontId="11" fillId="16" borderId="8" xfId="0" applyFont="1" applyFill="1" applyBorder="1" applyAlignment="1">
      <alignment horizontal="center" vertical="center"/>
    </xf>
    <xf numFmtId="0" fontId="11" fillId="16" borderId="9" xfId="0" applyFont="1" applyFill="1" applyBorder="1" applyAlignment="1">
      <alignment horizontal="center" vertical="center"/>
    </xf>
    <xf numFmtId="0" fontId="11" fillId="28" borderId="8" xfId="0" applyFont="1" applyFill="1" applyBorder="1" applyAlignment="1">
      <alignment horizontal="center" vertical="center"/>
    </xf>
    <xf numFmtId="0" fontId="11" fillId="28" borderId="9" xfId="0" applyFont="1" applyFill="1" applyBorder="1" applyAlignment="1">
      <alignment horizontal="center" vertical="center"/>
    </xf>
    <xf numFmtId="0" fontId="13" fillId="2" borderId="12" xfId="0" applyFont="1" applyFill="1" applyBorder="1" applyAlignment="1">
      <alignment horizontal="center" vertical="center"/>
    </xf>
    <xf numFmtId="0" fontId="13" fillId="2" borderId="13" xfId="0" applyFont="1" applyFill="1" applyBorder="1" applyAlignment="1">
      <alignment horizontal="center" vertical="center"/>
    </xf>
    <xf numFmtId="0" fontId="13" fillId="4" borderId="12" xfId="0" applyFont="1" applyFill="1" applyBorder="1" applyAlignment="1">
      <alignment horizontal="center" vertical="center"/>
    </xf>
    <xf numFmtId="0" fontId="13" fillId="4" borderId="13" xfId="0" applyFont="1" applyFill="1" applyBorder="1" applyAlignment="1">
      <alignment horizontal="center" vertical="center"/>
    </xf>
    <xf numFmtId="0" fontId="13" fillId="5" borderId="12" xfId="0" applyFont="1" applyFill="1" applyBorder="1" applyAlignment="1">
      <alignment horizontal="center" vertical="center"/>
    </xf>
    <xf numFmtId="0" fontId="13" fillId="5" borderId="13" xfId="0" applyFont="1" applyFill="1" applyBorder="1" applyAlignment="1">
      <alignment horizontal="center" vertical="center"/>
    </xf>
    <xf numFmtId="0" fontId="13" fillId="9" borderId="12" xfId="0" applyFont="1" applyFill="1" applyBorder="1" applyAlignment="1">
      <alignment horizontal="center" vertical="center"/>
    </xf>
    <xf numFmtId="0" fontId="13" fillId="9" borderId="13" xfId="0" applyFont="1" applyFill="1" applyBorder="1" applyAlignment="1">
      <alignment horizontal="center" vertical="center"/>
    </xf>
    <xf numFmtId="0" fontId="13" fillId="23" borderId="12" xfId="0" applyFont="1" applyFill="1" applyBorder="1" applyAlignment="1">
      <alignment horizontal="center" vertical="center"/>
    </xf>
    <xf numFmtId="0" fontId="13" fillId="23" borderId="13" xfId="0" applyFont="1" applyFill="1" applyBorder="1" applyAlignment="1">
      <alignment horizontal="center" vertical="center"/>
    </xf>
    <xf numFmtId="0" fontId="12" fillId="2" borderId="10" xfId="0" applyFont="1" applyFill="1" applyBorder="1" applyAlignment="1">
      <alignment horizontal="center" vertical="center"/>
    </xf>
    <xf numFmtId="0" fontId="12" fillId="2" borderId="11" xfId="0" applyFont="1" applyFill="1" applyBorder="1" applyAlignment="1">
      <alignment horizontal="center" vertical="center"/>
    </xf>
    <xf numFmtId="0" fontId="12" fillId="4" borderId="10" xfId="0" applyFont="1" applyFill="1" applyBorder="1" applyAlignment="1">
      <alignment horizontal="center" vertical="center"/>
    </xf>
    <xf numFmtId="0" fontId="12" fillId="4" borderId="11" xfId="0" applyFont="1" applyFill="1" applyBorder="1" applyAlignment="1">
      <alignment horizontal="center" vertical="center"/>
    </xf>
    <xf numFmtId="0" fontId="12" fillId="5" borderId="10" xfId="0" applyFont="1" applyFill="1" applyBorder="1" applyAlignment="1">
      <alignment horizontal="center" vertical="center"/>
    </xf>
    <xf numFmtId="0" fontId="12" fillId="5" borderId="11" xfId="0" applyFont="1" applyFill="1" applyBorder="1" applyAlignment="1">
      <alignment horizontal="center" vertical="center"/>
    </xf>
    <xf numFmtId="10" fontId="12" fillId="9" borderId="10" xfId="0" applyNumberFormat="1" applyFont="1" applyFill="1" applyBorder="1" applyAlignment="1">
      <alignment horizontal="center" vertical="center"/>
    </xf>
    <xf numFmtId="0" fontId="12" fillId="9" borderId="11" xfId="0" applyFont="1" applyFill="1" applyBorder="1" applyAlignment="1">
      <alignment horizontal="center" vertical="center"/>
    </xf>
    <xf numFmtId="0" fontId="12" fillId="9" borderId="10" xfId="0" applyFont="1" applyFill="1" applyBorder="1" applyAlignment="1">
      <alignment horizontal="center" vertical="center"/>
    </xf>
    <xf numFmtId="0" fontId="12" fillId="23" borderId="10" xfId="0" applyFont="1" applyFill="1" applyBorder="1" applyAlignment="1">
      <alignment horizontal="center" vertical="center"/>
    </xf>
    <xf numFmtId="0" fontId="12" fillId="23" borderId="11" xfId="0" applyFont="1" applyFill="1" applyBorder="1" applyAlignment="1">
      <alignment horizontal="center" vertical="center"/>
    </xf>
    <xf numFmtId="0" fontId="10" fillId="2" borderId="0" xfId="0" applyFont="1" applyFill="1" applyAlignment="1">
      <alignment horizontal="center" vertical="center"/>
    </xf>
    <xf numFmtId="0" fontId="11" fillId="2" borderId="8" xfId="0" applyFont="1" applyFill="1" applyBorder="1" applyAlignment="1">
      <alignment horizontal="center" vertical="center"/>
    </xf>
    <xf numFmtId="0" fontId="11" fillId="2" borderId="9" xfId="0" applyFont="1" applyFill="1" applyBorder="1" applyAlignment="1">
      <alignment horizontal="center" vertical="center"/>
    </xf>
    <xf numFmtId="0" fontId="11" fillId="4" borderId="8" xfId="0" applyFont="1" applyFill="1" applyBorder="1" applyAlignment="1">
      <alignment horizontal="center" vertical="center"/>
    </xf>
    <xf numFmtId="0" fontId="11" fillId="4" borderId="9" xfId="0" applyFont="1" applyFill="1" applyBorder="1" applyAlignment="1">
      <alignment horizontal="center" vertical="center"/>
    </xf>
    <xf numFmtId="0" fontId="11" fillId="5" borderId="8" xfId="0" applyFont="1" applyFill="1" applyBorder="1" applyAlignment="1">
      <alignment horizontal="center" vertical="center"/>
    </xf>
    <xf numFmtId="0" fontId="11" fillId="5" borderId="9" xfId="0" applyFont="1" applyFill="1" applyBorder="1" applyAlignment="1">
      <alignment horizontal="center" vertical="center"/>
    </xf>
    <xf numFmtId="0" fontId="11" fillId="9" borderId="8" xfId="0" applyFont="1" applyFill="1" applyBorder="1" applyAlignment="1">
      <alignment horizontal="center" vertical="center"/>
    </xf>
    <xf numFmtId="0" fontId="11" fillId="9" borderId="9" xfId="0" applyFont="1" applyFill="1" applyBorder="1" applyAlignment="1">
      <alignment horizontal="center" vertical="center"/>
    </xf>
    <xf numFmtId="0" fontId="11" fillId="23" borderId="8" xfId="0" applyFont="1" applyFill="1" applyBorder="1" applyAlignment="1">
      <alignment horizontal="center" vertical="center"/>
    </xf>
    <xf numFmtId="0" fontId="11" fillId="23" borderId="9" xfId="0" applyFont="1" applyFill="1" applyBorder="1" applyAlignment="1">
      <alignment horizontal="center" vertical="center"/>
    </xf>
    <xf numFmtId="0" fontId="3" fillId="2" borderId="0" xfId="0" applyFont="1" applyFill="1" applyAlignment="1">
      <alignment horizontal="center" vertical="center" wrapText="1"/>
    </xf>
    <xf numFmtId="0" fontId="3" fillId="4" borderId="0" xfId="0" applyFont="1" applyFill="1" applyAlignment="1">
      <alignment horizontal="center" vertical="center" wrapText="1"/>
    </xf>
    <xf numFmtId="0" fontId="3" fillId="5" borderId="0" xfId="0" applyFont="1" applyFill="1" applyAlignment="1">
      <alignment horizontal="center" vertical="center" wrapText="1"/>
    </xf>
    <xf numFmtId="0" fontId="3" fillId="6" borderId="0" xfId="0" applyFont="1" applyFill="1" applyAlignment="1">
      <alignment horizontal="center" vertical="center" wrapText="1"/>
    </xf>
    <xf numFmtId="0" fontId="27" fillId="10" borderId="0" xfId="1" applyFill="1" applyAlignment="1">
      <alignment horizontal="left" vertical="center"/>
    </xf>
    <xf numFmtId="0" fontId="6" fillId="8" borderId="0" xfId="0" applyFont="1" applyFill="1" applyAlignment="1">
      <alignment horizontal="left" vertical="center"/>
    </xf>
    <xf numFmtId="0" fontId="25" fillId="29" borderId="0" xfId="0" applyFont="1" applyFill="1" applyAlignment="1">
      <alignment horizontal="center" vertical="center"/>
    </xf>
    <xf numFmtId="0" fontId="27" fillId="2" borderId="0" xfId="1" applyFill="1" applyAlignment="1">
      <alignment horizontal="left" vertical="center"/>
    </xf>
    <xf numFmtId="0" fontId="27" fillId="6" borderId="0" xfId="1" applyFill="1" applyAlignment="1">
      <alignment horizontal="left" vertical="center"/>
    </xf>
    <xf numFmtId="0" fontId="4" fillId="7" borderId="0" xfId="0" applyFont="1" applyFill="1" applyAlignment="1">
      <alignment horizontal="left" vertical="center"/>
    </xf>
    <xf numFmtId="0" fontId="27" fillId="5" borderId="0" xfId="1" applyFill="1" applyAlignment="1">
      <alignment horizontal="left" vertical="center"/>
    </xf>
    <xf numFmtId="0" fontId="27" fillId="4" borderId="0" xfId="1" applyFill="1" applyAlignment="1">
      <alignment horizontal="left" vertical="center"/>
    </xf>
    <xf numFmtId="0" fontId="2" fillId="3" borderId="0" xfId="0" applyFont="1" applyFill="1" applyAlignment="1">
      <alignment horizontal="center" vertical="center"/>
    </xf>
    <xf numFmtId="0" fontId="0" fillId="2" borderId="0" xfId="0" applyFill="1"/>
    <xf numFmtId="0" fontId="0" fillId="33" borderId="25" xfId="0" applyFill="1" applyBorder="1" applyAlignment="1">
      <alignment horizontal="center"/>
    </xf>
    <xf numFmtId="0" fontId="0" fillId="33" borderId="8" xfId="0" applyFill="1" applyBorder="1" applyAlignment="1">
      <alignment horizontal="center"/>
    </xf>
    <xf numFmtId="0" fontId="0" fillId="33" borderId="15" xfId="0" applyFill="1" applyBorder="1" applyAlignment="1">
      <alignment horizontal="center"/>
    </xf>
    <xf numFmtId="0" fontId="0" fillId="33" borderId="9" xfId="0" applyFill="1" applyBorder="1" applyAlignment="1">
      <alignment horizontal="center"/>
    </xf>
    <xf numFmtId="0" fontId="17" fillId="10" borderId="0" xfId="0" applyFont="1" applyFill="1" applyAlignment="1">
      <alignment horizontal="center" vertical="center"/>
    </xf>
    <xf numFmtId="0" fontId="15" fillId="11" borderId="23" xfId="0" applyFont="1" applyFill="1" applyBorder="1" applyAlignment="1">
      <alignment horizontal="center" vertical="center"/>
    </xf>
    <xf numFmtId="0" fontId="0" fillId="33" borderId="24" xfId="0" applyFill="1" applyBorder="1" applyAlignment="1">
      <alignment horizontal="center"/>
    </xf>
    <xf numFmtId="0" fontId="17" fillId="11" borderId="8" xfId="0" applyFont="1" applyFill="1" applyBorder="1" applyAlignment="1">
      <alignment horizontal="center" vertical="center"/>
    </xf>
    <xf numFmtId="0" fontId="17" fillId="11" borderId="15" xfId="0" applyFont="1" applyFill="1" applyBorder="1" applyAlignment="1">
      <alignment horizontal="center" vertical="center"/>
    </xf>
    <xf numFmtId="0" fontId="17" fillId="11" borderId="9" xfId="0" applyFont="1" applyFill="1" applyBorder="1" applyAlignment="1">
      <alignment horizontal="center" vertical="center"/>
    </xf>
    <xf numFmtId="0" fontId="27" fillId="30" borderId="23" xfId="1" applyFill="1" applyBorder="1" applyAlignment="1">
      <alignment horizontal="center" vertical="center"/>
    </xf>
    <xf numFmtId="0" fontId="27" fillId="4" borderId="8" xfId="1" applyFill="1" applyBorder="1" applyAlignment="1">
      <alignment horizontal="center" vertical="center"/>
    </xf>
    <xf numFmtId="0" fontId="27" fillId="4" borderId="15" xfId="1" applyFill="1" applyBorder="1" applyAlignment="1">
      <alignment horizontal="center" vertical="center"/>
    </xf>
    <xf numFmtId="0" fontId="27" fillId="4" borderId="9" xfId="1" applyFill="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colors>
    <indexedColors>
      <rgbColor rgb="FF000000"/>
      <rgbColor rgb="FFFFFFFF"/>
      <rgbColor rgb="FFE91E63"/>
      <rgbColor rgb="FF00FF00"/>
      <rgbColor rgb="FF0000FF"/>
      <rgbColor rgb="FFF0FFF4"/>
      <rgbColor rgb="FFFF00FF"/>
      <rgbColor rgb="FF00FFFF"/>
      <rgbColor rgb="FF800000"/>
      <rgbColor rgb="FF2E7D32"/>
      <rgbColor rgb="FF0B1729"/>
      <rgbColor rgb="FF2E5A3A"/>
      <rgbColor rgb="FF6A1B9A"/>
      <rgbColor rgb="FF00695C"/>
      <rgbColor rgb="FFB0C8FF"/>
      <rgbColor rgb="FF878787"/>
      <rgbColor rgb="FFA8D8F0"/>
      <rgbColor rgb="FF9C27B0"/>
      <rgbColor rgb="FFFFFFAA"/>
      <rgbColor rgb="FFE8F4FF"/>
      <rgbColor rgb="FF660066"/>
      <rgbColor rgb="FFF57F17"/>
      <rgbColor rgb="FF1565C0"/>
      <rgbColor rgb="FFC8D8FF"/>
      <rgbColor rgb="FF0F1E33"/>
      <rgbColor rgb="FFFF00FF"/>
      <rgbColor rgb="FFF9F9F9"/>
      <rgbColor rgb="FF00FFFF"/>
      <rgbColor rgb="FF800080"/>
      <rgbColor rgb="FF800000"/>
      <rgbColor rgb="FF1B5E20"/>
      <rgbColor rgb="FF0000FF"/>
      <rgbColor rgb="FF00BCD4"/>
      <rgbColor rgb="FFE8F4FD"/>
      <rgbColor rgb="FFC8E6C9"/>
      <rgbColor rgb="FFFFFF88"/>
      <rgbColor rgb="FFA8C8FF"/>
      <rgbColor rgb="FFD0E8FF"/>
      <rgbColor rgb="FFC8E6FF"/>
      <rgbColor rgb="FFD9D9D9"/>
      <rgbColor rgb="FF2196F3"/>
      <rgbColor rgb="FF4CAF50"/>
      <rgbColor rgb="FF99CC00"/>
      <rgbColor rgb="FFFFD700"/>
      <rgbColor rgb="FFFF9800"/>
      <rgbColor rgb="FFE65100"/>
      <rgbColor rgb="FF607D8B"/>
      <rgbColor rgb="FFEEF4FF"/>
      <rgbColor rgb="FF1E3A5F"/>
      <rgbColor rgb="FF388E3C"/>
      <rgbColor rgb="FF0D1B2A"/>
      <rgbColor rgb="FF162540"/>
      <rgbColor rgb="FFB71C1C"/>
      <rgbColor rgb="FFF44336"/>
      <rgbColor rgb="FF1B2A4A"/>
      <rgbColor rgb="FF1B3A2A"/>
      <rgbColor rgb="00003366"/>
      <rgbColor rgb="00339966"/>
      <rgbColor rgb="00003300"/>
      <rgbColor rgb="00333300"/>
      <rgbColor rgb="00993300"/>
      <rgbColor rgb="00993366"/>
      <rgbColor rgb="00333399"/>
      <rgbColor rgb="00333333"/>
    </indexedColors>
    <mruColors>
      <color rgb="FF33CCCC"/>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openxmlformats.org/officeDocument/2006/relationships/pivotCacheDefinition" Target="pivotCache/pivotCacheDefinition3.xml"/><Relationship Id="rId26" Type="http://schemas.openxmlformats.org/officeDocument/2006/relationships/pivotTable" Target="pivotTables/pivotTable2.xml"/><Relationship Id="rId39" Type="http://schemas.openxmlformats.org/officeDocument/2006/relationships/customXml" Target="../customXml/item1.xml"/><Relationship Id="rId21" Type="http://schemas.openxmlformats.org/officeDocument/2006/relationships/pivotCacheDefinition" Target="pivotCache/pivotCacheDefinition6.xml"/><Relationship Id="rId34" Type="http://schemas.openxmlformats.org/officeDocument/2006/relationships/connections" Target="connection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pivotCacheDefinition" Target="pivotCache/pivotCacheDefinition5.xml"/><Relationship Id="rId29" Type="http://schemas.openxmlformats.org/officeDocument/2006/relationships/pivotTable" Target="pivotTables/pivotTable5.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9.xml"/><Relationship Id="rId32" Type="http://schemas.openxmlformats.org/officeDocument/2006/relationships/pivotTable" Target="pivotTables/pivotTable8.xml"/><Relationship Id="rId37" Type="http://schemas.openxmlformats.org/officeDocument/2006/relationships/powerPivotData" Target="model/item.data"/><Relationship Id="rId40" Type="http://schemas.openxmlformats.org/officeDocument/2006/relationships/customXml" Target="../customXml/item2.xml"/><Relationship Id="rId5" Type="http://schemas.openxmlformats.org/officeDocument/2006/relationships/worksheet" Target="worksheets/sheet5.xml"/><Relationship Id="rId15" Type="http://schemas.microsoft.com/office/2007/relationships/slicerCache" Target="slicerCaches/slicerCache3.xml"/><Relationship Id="rId23" Type="http://schemas.openxmlformats.org/officeDocument/2006/relationships/pivotCacheDefinition" Target="pivotCache/pivotCacheDefinition8.xml"/><Relationship Id="rId28" Type="http://schemas.openxmlformats.org/officeDocument/2006/relationships/pivotTable" Target="pivotTables/pivotTable4.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openxmlformats.org/officeDocument/2006/relationships/pivotTable" Target="pivotTables/pivotTable7.xml"/><Relationship Id="rId44" Type="http://schemas.openxmlformats.org/officeDocument/2006/relationships/customXml" Target="../customXml/item6.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pivotCacheDefinition" Target="pivotCache/pivotCacheDefinition7.xml"/><Relationship Id="rId27" Type="http://schemas.openxmlformats.org/officeDocument/2006/relationships/pivotTable" Target="pivotTables/pivotTable3.xml"/><Relationship Id="rId30" Type="http://schemas.openxmlformats.org/officeDocument/2006/relationships/pivotTable" Target="pivotTables/pivotTable6.xml"/><Relationship Id="rId35" Type="http://schemas.openxmlformats.org/officeDocument/2006/relationships/styles" Target="styles.xml"/><Relationship Id="rId43" Type="http://schemas.openxmlformats.org/officeDocument/2006/relationships/customXml" Target="../customXml/item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2.xml"/><Relationship Id="rId25" Type="http://schemas.openxmlformats.org/officeDocument/2006/relationships/pivotTable" Target="pivotTables/pivotTable1.xml"/><Relationship Id="rId33" Type="http://schemas.openxmlformats.org/officeDocument/2006/relationships/theme" Target="theme/theme1.xml"/><Relationship Id="rId38"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 Headcount by Department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0"/>
          <c:order val="0"/>
          <c:tx>
            <c:strRef>
              <c:f>'🔍 Dept Summary'!$P$2</c:f>
              <c:strCache>
                <c:ptCount val="1"/>
                <c:pt idx="0">
                  <c:v>Headcount</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1"/>
            <c:separator> </c:separator>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 Dept Summary'!$O$3:$O$8</c:f>
              <c:strCache>
                <c:ptCount val="6"/>
                <c:pt idx="0">
                  <c:v>ENGINEERING</c:v>
                </c:pt>
                <c:pt idx="1">
                  <c:v>FINANCE</c:v>
                </c:pt>
                <c:pt idx="2">
                  <c:v>HR</c:v>
                </c:pt>
                <c:pt idx="3">
                  <c:v>MARKETING</c:v>
                </c:pt>
                <c:pt idx="4">
                  <c:v>OPERATIONS</c:v>
                </c:pt>
                <c:pt idx="5">
                  <c:v>SALES</c:v>
                </c:pt>
              </c:strCache>
            </c:strRef>
          </c:cat>
          <c:val>
            <c:numRef>
              <c:f>'🔍 Dept Summary'!$P$3:$P$8</c:f>
              <c:numCache>
                <c:formatCode>General</c:formatCode>
                <c:ptCount val="6"/>
                <c:pt idx="0">
                  <c:v>50</c:v>
                </c:pt>
                <c:pt idx="1">
                  <c:v>62</c:v>
                </c:pt>
                <c:pt idx="2">
                  <c:v>64</c:v>
                </c:pt>
                <c:pt idx="3">
                  <c:v>57</c:v>
                </c:pt>
                <c:pt idx="4">
                  <c:v>57</c:v>
                </c:pt>
                <c:pt idx="5">
                  <c:v>60</c:v>
                </c:pt>
              </c:numCache>
            </c:numRef>
          </c:val>
          <c:extLst>
            <c:ext xmlns:c16="http://schemas.microsoft.com/office/drawing/2014/chart" uri="{C3380CC4-5D6E-409C-BE32-E72D297353CC}">
              <c16:uniqueId val="{00000000-8512-4E12-BD36-7C225544EA71}"/>
            </c:ext>
          </c:extLst>
        </c:ser>
        <c:dLbls>
          <c:dLblPos val="inEnd"/>
          <c:showLegendKey val="0"/>
          <c:showVal val="1"/>
          <c:showCatName val="0"/>
          <c:showSerName val="0"/>
          <c:showPercent val="0"/>
          <c:showBubbleSize val="0"/>
        </c:dLbls>
        <c:gapWidth val="65"/>
        <c:axId val="99387813"/>
        <c:axId val="81360145"/>
      </c:barChart>
      <c:catAx>
        <c:axId val="99387813"/>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Department</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81360145"/>
        <c:crosses val="autoZero"/>
        <c:auto val="1"/>
        <c:lblAlgn val="ctr"/>
        <c:lblOffset val="100"/>
        <c:noMultiLvlLbl val="0"/>
      </c:catAx>
      <c:valAx>
        <c:axId val="81360145"/>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Employees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crossAx val="99387813"/>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1"/>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800" b="1" i="0" u="none" strike="noStrike" kern="1200" baseline="0">
                <a:solidFill>
                  <a:schemeClr val="dk1"/>
                </a:solidFill>
                <a:latin typeface="+mn-lt"/>
                <a:ea typeface="+mn-ea"/>
                <a:cs typeface="+mn-cs"/>
              </a:defRPr>
            </a:pPr>
            <a:r>
              <a:rPr lang="en-US"/>
              <a:t>⭐ Avg Performance by Department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solidFill>
              <a:latin typeface="+mn-lt"/>
              <a:ea typeface="+mn-ea"/>
              <a:cs typeface="+mn-cs"/>
            </a:defRPr>
          </a:pPr>
          <a:endParaRPr lang="en-US"/>
        </a:p>
      </c:txPr>
    </c:title>
    <c:autoTitleDeleted val="0"/>
    <c:plotArea>
      <c:layout/>
      <c:barChart>
        <c:barDir val="col"/>
        <c:grouping val="clustered"/>
        <c:varyColors val="0"/>
        <c:ser>
          <c:idx val="0"/>
          <c:order val="0"/>
          <c:tx>
            <c:strRef>
              <c:f>'🔍 Dept Summary'!$Q$2</c:f>
              <c:strCache>
                <c:ptCount val="1"/>
                <c:pt idx="0">
                  <c:v>AvgPerf</c:v>
                </c:pt>
              </c:strCache>
            </c:strRef>
          </c:tx>
          <c:spPr>
            <a:solidFill>
              <a:schemeClr val="dk1">
                <a:tint val="885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1"/>
            <c:separator> </c:separator>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 Dept Summary'!$O$3:$O$8</c:f>
              <c:strCache>
                <c:ptCount val="6"/>
                <c:pt idx="0">
                  <c:v>ENGINEERING</c:v>
                </c:pt>
                <c:pt idx="1">
                  <c:v>FINANCE</c:v>
                </c:pt>
                <c:pt idx="2">
                  <c:v>HR</c:v>
                </c:pt>
                <c:pt idx="3">
                  <c:v>MARKETING</c:v>
                </c:pt>
                <c:pt idx="4">
                  <c:v>OPERATIONS</c:v>
                </c:pt>
                <c:pt idx="5">
                  <c:v>SALES</c:v>
                </c:pt>
              </c:strCache>
            </c:strRef>
          </c:cat>
          <c:val>
            <c:numRef>
              <c:f>'🔍 Dept Summary'!$Q$3:$Q$8</c:f>
              <c:numCache>
                <c:formatCode>General</c:formatCode>
                <c:ptCount val="6"/>
                <c:pt idx="0">
                  <c:v>72.599999999999994</c:v>
                </c:pt>
                <c:pt idx="1">
                  <c:v>67.3</c:v>
                </c:pt>
                <c:pt idx="2">
                  <c:v>73.099999999999994</c:v>
                </c:pt>
                <c:pt idx="3">
                  <c:v>73.099999999999994</c:v>
                </c:pt>
                <c:pt idx="4">
                  <c:v>69.5</c:v>
                </c:pt>
                <c:pt idx="5">
                  <c:v>67.7</c:v>
                </c:pt>
              </c:numCache>
            </c:numRef>
          </c:val>
          <c:extLst>
            <c:ext xmlns:c16="http://schemas.microsoft.com/office/drawing/2014/chart" uri="{C3380CC4-5D6E-409C-BE32-E72D297353CC}">
              <c16:uniqueId val="{00000000-9B23-4D45-AB03-969EFA15B8CD}"/>
            </c:ext>
          </c:extLst>
        </c:ser>
        <c:dLbls>
          <c:dLblPos val="inEnd"/>
          <c:showLegendKey val="0"/>
          <c:showVal val="1"/>
          <c:showCatName val="0"/>
          <c:showSerName val="0"/>
          <c:showPercent val="0"/>
          <c:showBubbleSize val="0"/>
        </c:dLbls>
        <c:gapWidth val="65"/>
        <c:axId val="83908001"/>
        <c:axId val="17438561"/>
      </c:barChart>
      <c:catAx>
        <c:axId val="83908001"/>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r>
                  <a:rPr lang="en-US"/>
                  <a:t>Department</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crossAx val="17438561"/>
        <c:crosses val="autoZero"/>
        <c:auto val="1"/>
        <c:lblAlgn val="ctr"/>
        <c:lblOffset val="100"/>
        <c:noMultiLvlLbl val="0"/>
      </c:catAx>
      <c:valAx>
        <c:axId val="17438561"/>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dk1"/>
                    </a:solidFill>
                    <a:latin typeface="+mn-lt"/>
                    <a:ea typeface="+mn-ea"/>
                    <a:cs typeface="+mn-cs"/>
                  </a:defRPr>
                </a:pPr>
                <a:r>
                  <a:rPr lang="en-US"/>
                  <a:t>Score %</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crossAx val="83908001"/>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1"/>
  </c:chart>
  <c:spPr>
    <a:gradFill flip="none" rotWithShape="1">
      <a:gsLst>
        <a:gs pos="0">
          <a:schemeClr val="accent5">
            <a:tint val="50000"/>
          </a:schemeClr>
        </a:gs>
        <a:gs pos="35000">
          <a:schemeClr val="accent5">
            <a:tint val="37000"/>
          </a:schemeClr>
        </a:gs>
        <a:gs pos="100000">
          <a:schemeClr val="accent5">
            <a:tint val="15000"/>
          </a:schemeClr>
        </a:gs>
      </a:gsLst>
      <a:lin ang="16200000" scaled="1"/>
      <a:tileRect/>
    </a:gradFill>
    <a:ln w="9525" cap="flat" cmpd="sng" algn="ctr">
      <a:solidFill>
        <a:schemeClr val="dk1">
          <a:lumMod val="25000"/>
          <a:lumOff val="75000"/>
        </a:schemeClr>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ivotFmts>
      <c:pivotFmt>
        <c:idx val="0"/>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marker>
          <c:symbol val="diamond"/>
          <c:size val="5"/>
          <c:spPr>
            <a:gradFill>
              <a:gsLst>
                <a:gs pos="0">
                  <a:schemeClr val="accent3">
                    <a:shade val="51000"/>
                  </a:schemeClr>
                </a:gs>
                <a:gs pos="80000">
                  <a:schemeClr val="accent3">
                    <a:shade val="93000"/>
                  </a:schemeClr>
                </a:gs>
                <a:gs pos="100000">
                  <a:schemeClr val="accent3">
                    <a:shade val="94000"/>
                  </a:schemeClr>
                </a:gs>
              </a:gsLst>
              <a:lin ang="16200000" scaled="0"/>
              <a:tileRect/>
            </a:gradFill>
            <a:ln w="9525">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ENGINEERING</c:v>
          </c:tx>
          <c:spPr>
            <a:gradFill>
              <a:gsLst>
                <a:gs pos="0">
                  <a:schemeClr val="accent3">
                    <a:tint val="50000"/>
                    <a:shade val="51000"/>
                  </a:schemeClr>
                </a:gs>
                <a:gs pos="80000">
                  <a:schemeClr val="accent3">
                    <a:tint val="50000"/>
                    <a:shade val="93000"/>
                  </a:schemeClr>
                </a:gs>
                <a:gs pos="100000">
                  <a:schemeClr val="accent3">
                    <a:tint val="50000"/>
                    <a:shade val="94000"/>
                  </a:schemeClr>
                </a:gs>
              </a:gsLst>
              <a:lin ang="1620000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1"/>
              <c:pt idx="0">
                <c:v>Total</c:v>
              </c:pt>
            </c:strLit>
          </c:cat>
          <c:val>
            <c:numLit>
              <c:formatCode>General</c:formatCode>
              <c:ptCount val="1"/>
              <c:pt idx="0">
                <c:v>559128</c:v>
              </c:pt>
            </c:numLit>
          </c:val>
          <c:extLst>
            <c:ext xmlns:c16="http://schemas.microsoft.com/office/drawing/2014/chart" uri="{C3380CC4-5D6E-409C-BE32-E72D297353CC}">
              <c16:uniqueId val="{00000000-1BBD-491B-BDE6-E8C80EA5742F}"/>
            </c:ext>
          </c:extLst>
        </c:ser>
        <c:ser>
          <c:idx val="1"/>
          <c:order val="1"/>
          <c:tx>
            <c:v>FINANCE</c:v>
          </c:tx>
          <c:spPr>
            <a:gradFill>
              <a:gsLst>
                <a:gs pos="0">
                  <a:schemeClr val="accent3">
                    <a:tint val="70000"/>
                    <a:shade val="51000"/>
                  </a:schemeClr>
                </a:gs>
                <a:gs pos="80000">
                  <a:schemeClr val="accent3">
                    <a:tint val="70000"/>
                    <a:shade val="93000"/>
                  </a:schemeClr>
                </a:gs>
                <a:gs pos="100000">
                  <a:schemeClr val="accent3">
                    <a:tint val="70000"/>
                    <a:shade val="94000"/>
                  </a:schemeClr>
                </a:gs>
              </a:gsLst>
              <a:lin ang="1620000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1"/>
              <c:pt idx="0">
                <c:v>Total</c:v>
              </c:pt>
            </c:strLit>
          </c:cat>
          <c:val>
            <c:numLit>
              <c:formatCode>General</c:formatCode>
              <c:ptCount val="1"/>
              <c:pt idx="0">
                <c:v>1183233</c:v>
              </c:pt>
            </c:numLit>
          </c:val>
          <c:extLst>
            <c:ext xmlns:c16="http://schemas.microsoft.com/office/drawing/2014/chart" uri="{C3380CC4-5D6E-409C-BE32-E72D297353CC}">
              <c16:uniqueId val="{00000001-1BBD-491B-BDE6-E8C80EA5742F}"/>
            </c:ext>
          </c:extLst>
        </c:ser>
        <c:ser>
          <c:idx val="2"/>
          <c:order val="2"/>
          <c:tx>
            <c:v>HR</c:v>
          </c:tx>
          <c:spPr>
            <a:gradFill>
              <a:gsLst>
                <a:gs pos="0">
                  <a:schemeClr val="accent3">
                    <a:tint val="90000"/>
                    <a:shade val="51000"/>
                  </a:schemeClr>
                </a:gs>
                <a:gs pos="80000">
                  <a:schemeClr val="accent3">
                    <a:tint val="90000"/>
                    <a:shade val="93000"/>
                  </a:schemeClr>
                </a:gs>
                <a:gs pos="100000">
                  <a:schemeClr val="accent3">
                    <a:tint val="90000"/>
                    <a:shade val="94000"/>
                  </a:schemeClr>
                </a:gs>
              </a:gsLst>
              <a:lin ang="1620000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1"/>
              <c:pt idx="0">
                <c:v>Total</c:v>
              </c:pt>
            </c:strLit>
          </c:cat>
          <c:val>
            <c:numLit>
              <c:formatCode>General</c:formatCode>
              <c:ptCount val="1"/>
              <c:pt idx="0">
                <c:v>739610</c:v>
              </c:pt>
            </c:numLit>
          </c:val>
          <c:extLst>
            <c:ext xmlns:c16="http://schemas.microsoft.com/office/drawing/2014/chart" uri="{C3380CC4-5D6E-409C-BE32-E72D297353CC}">
              <c16:uniqueId val="{00000002-1BBD-491B-BDE6-E8C80EA5742F}"/>
            </c:ext>
          </c:extLst>
        </c:ser>
        <c:ser>
          <c:idx val="3"/>
          <c:order val="3"/>
          <c:tx>
            <c:v>MARKETING</c:v>
          </c:tx>
          <c:spPr>
            <a:gradFill>
              <a:gsLst>
                <a:gs pos="0">
                  <a:schemeClr val="accent3">
                    <a:shade val="90000"/>
                    <a:shade val="51000"/>
                  </a:schemeClr>
                </a:gs>
                <a:gs pos="80000">
                  <a:schemeClr val="accent3">
                    <a:shade val="90000"/>
                    <a:shade val="93000"/>
                  </a:schemeClr>
                </a:gs>
                <a:gs pos="100000">
                  <a:schemeClr val="accent3">
                    <a:shade val="90000"/>
                    <a:shade val="94000"/>
                  </a:schemeClr>
                </a:gs>
              </a:gsLst>
              <a:lin ang="1620000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1"/>
              <c:pt idx="0">
                <c:v>Total</c:v>
              </c:pt>
            </c:strLit>
          </c:cat>
          <c:val>
            <c:numLit>
              <c:formatCode>General</c:formatCode>
              <c:ptCount val="1"/>
              <c:pt idx="0">
                <c:v>1124714</c:v>
              </c:pt>
            </c:numLit>
          </c:val>
          <c:extLst>
            <c:ext xmlns:c16="http://schemas.microsoft.com/office/drawing/2014/chart" uri="{C3380CC4-5D6E-409C-BE32-E72D297353CC}">
              <c16:uniqueId val="{00000003-1BBD-491B-BDE6-E8C80EA5742F}"/>
            </c:ext>
          </c:extLst>
        </c:ser>
        <c:ser>
          <c:idx val="4"/>
          <c:order val="4"/>
          <c:tx>
            <c:v>OPERATIONS</c:v>
          </c:tx>
          <c:spPr>
            <a:gradFill>
              <a:gsLst>
                <a:gs pos="0">
                  <a:schemeClr val="accent3">
                    <a:shade val="70000"/>
                    <a:shade val="51000"/>
                  </a:schemeClr>
                </a:gs>
                <a:gs pos="80000">
                  <a:schemeClr val="accent3">
                    <a:shade val="70000"/>
                    <a:shade val="93000"/>
                  </a:schemeClr>
                </a:gs>
                <a:gs pos="100000">
                  <a:schemeClr val="accent3">
                    <a:shade val="70000"/>
                    <a:shade val="94000"/>
                  </a:schemeClr>
                </a:gs>
              </a:gsLst>
              <a:lin ang="1620000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1"/>
              <c:pt idx="0">
                <c:v>Total</c:v>
              </c:pt>
            </c:strLit>
          </c:cat>
          <c:val>
            <c:numLit>
              <c:formatCode>General</c:formatCode>
              <c:ptCount val="1"/>
              <c:pt idx="0">
                <c:v>774519</c:v>
              </c:pt>
            </c:numLit>
          </c:val>
          <c:extLst>
            <c:ext xmlns:c16="http://schemas.microsoft.com/office/drawing/2014/chart" uri="{C3380CC4-5D6E-409C-BE32-E72D297353CC}">
              <c16:uniqueId val="{00000004-1BBD-491B-BDE6-E8C80EA5742F}"/>
            </c:ext>
          </c:extLst>
        </c:ser>
        <c:ser>
          <c:idx val="5"/>
          <c:order val="5"/>
          <c:tx>
            <c:v>SALES</c:v>
          </c:tx>
          <c:spPr>
            <a:gradFill>
              <a:gsLst>
                <a:gs pos="0">
                  <a:schemeClr val="accent3">
                    <a:shade val="50000"/>
                    <a:shade val="51000"/>
                  </a:schemeClr>
                </a:gs>
                <a:gs pos="80000">
                  <a:schemeClr val="accent3">
                    <a:shade val="50000"/>
                    <a:shade val="93000"/>
                  </a:schemeClr>
                </a:gs>
                <a:gs pos="100000">
                  <a:schemeClr val="accent3">
                    <a:shade val="50000"/>
                    <a:shade val="94000"/>
                  </a:schemeClr>
                </a:gs>
              </a:gsLst>
              <a:lin ang="1620000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1"/>
              <c:pt idx="0">
                <c:v>Total</c:v>
              </c:pt>
            </c:strLit>
          </c:cat>
          <c:val>
            <c:numLit>
              <c:formatCode>General</c:formatCode>
              <c:ptCount val="1"/>
              <c:pt idx="0">
                <c:v>847499</c:v>
              </c:pt>
            </c:numLit>
          </c:val>
          <c:extLst>
            <c:ext xmlns:c16="http://schemas.microsoft.com/office/drawing/2014/chart" uri="{C3380CC4-5D6E-409C-BE32-E72D297353CC}">
              <c16:uniqueId val="{00000005-1BBD-491B-BDE6-E8C80EA5742F}"/>
            </c:ext>
          </c:extLst>
        </c:ser>
        <c:dLbls>
          <c:dLblPos val="outEnd"/>
          <c:showLegendKey val="0"/>
          <c:showVal val="1"/>
          <c:showCatName val="0"/>
          <c:showSerName val="0"/>
          <c:showPercent val="0"/>
          <c:showBubbleSize val="0"/>
        </c:dLbls>
        <c:gapWidth val="115"/>
        <c:overlap val="-20"/>
        <c:axId val="1469636160"/>
        <c:axId val="858617872"/>
      </c:barChart>
      <c:catAx>
        <c:axId val="1469636160"/>
        <c:scaling>
          <c:orientation val="minMax"/>
        </c:scaling>
        <c:delete val="0"/>
        <c:axPos val="l"/>
        <c:numFmt formatCode="General" sourceLinked="0"/>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58617872"/>
        <c:crosses val="autoZero"/>
        <c:auto val="1"/>
        <c:lblAlgn val="ctr"/>
        <c:lblOffset val="100"/>
        <c:noMultiLvlLbl val="0"/>
        <c:extLst>
          <c:ext xmlns:c15="http://schemas.microsoft.com/office/drawing/2012/chart" uri="{F40574EE-89B7-4290-83BB-5DA773EAF853}">
            <c15:numFmt c:formatCode="General" c:sourceLinked="1"/>
          </c:ext>
        </c:extLst>
      </c:catAx>
      <c:valAx>
        <c:axId val="85861787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69636160"/>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5="http://schemas.microsoft.com/office/drawing/2012/chart" uri="{723BEF56-08C2-4564-9609-F4CBC75E7E54}">
      <c15:pivotSource>
        <c15:name>[EMPLOYEE PERFORMANCE MANAGEMENT &amp; PAYROLL MANAGEMENT SYSTEM 0.2.xlsm]PivotChartTable3</c15:name>
        <c15:fmtId val="9"/>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9088885208828054E-2"/>
          <c:y val="0.21135459865848777"/>
          <c:w val="0.78455552150250385"/>
          <c:h val="0.60825364912089919"/>
        </c:manualLayout>
      </c:layout>
      <c:barChart>
        <c:barDir val="col"/>
        <c:grouping val="clustered"/>
        <c:varyColors val="0"/>
        <c:ser>
          <c:idx val="0"/>
          <c:order val="0"/>
          <c:tx>
            <c:v>Total</c:v>
          </c:tx>
          <c:spPr>
            <a:solidFill>
              <a:schemeClr val="accent1"/>
            </a:solidFill>
            <a:ln>
              <a:noFill/>
            </a:ln>
            <a:effectLst/>
          </c:spPr>
          <c:invertIfNegative val="0"/>
          <c:cat>
            <c:strLit>
              <c:ptCount val="2"/>
              <c:pt idx="0">
                <c:v>Female</c:v>
              </c:pt>
              <c:pt idx="1">
                <c:v>Male</c:v>
              </c:pt>
            </c:strLit>
          </c:cat>
          <c:val>
            <c:numLit>
              <c:formatCode>General</c:formatCode>
              <c:ptCount val="2"/>
              <c:pt idx="0">
                <c:v>1831</c:v>
              </c:pt>
              <c:pt idx="1">
                <c:v>1797</c:v>
              </c:pt>
            </c:numLit>
          </c:val>
          <c:extLst>
            <c:ext xmlns:c16="http://schemas.microsoft.com/office/drawing/2014/chart" uri="{C3380CC4-5D6E-409C-BE32-E72D297353CC}">
              <c16:uniqueId val="{00000000-1E58-4BF4-96E1-05124E4545BA}"/>
            </c:ext>
          </c:extLst>
        </c:ser>
        <c:dLbls>
          <c:showLegendKey val="0"/>
          <c:showVal val="0"/>
          <c:showCatName val="0"/>
          <c:showSerName val="0"/>
          <c:showPercent val="0"/>
          <c:showBubbleSize val="0"/>
        </c:dLbls>
        <c:gapWidth val="219"/>
        <c:overlap val="-27"/>
        <c:axId val="2141439439"/>
        <c:axId val="1908467055"/>
      </c:barChart>
      <c:catAx>
        <c:axId val="2141439439"/>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908467055"/>
        <c:crosses val="autoZero"/>
        <c:auto val="1"/>
        <c:lblAlgn val="ctr"/>
        <c:lblOffset val="100"/>
        <c:noMultiLvlLbl val="0"/>
        <c:extLst>
          <c:ext xmlns:c15="http://schemas.microsoft.com/office/drawing/2012/chart" uri="{F40574EE-89B7-4290-83BB-5DA773EAF853}">
            <c15:numFmt c:formatCode="General" c:sourceLinked="1"/>
          </c:ext>
        </c:extLst>
      </c:catAx>
      <c:valAx>
        <c:axId val="190846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141439439"/>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5">
            <a:tint val="50000"/>
          </a:schemeClr>
        </a:gs>
        <a:gs pos="35000">
          <a:schemeClr val="accent5">
            <a:tint val="37000"/>
          </a:schemeClr>
        </a:gs>
        <a:gs pos="100000">
          <a:schemeClr val="accent5">
            <a:tint val="15000"/>
          </a:schemeClr>
        </a:gs>
      </a:gsLst>
      <a:lin ang="16200000" scaled="1"/>
      <a:tileRect/>
    </a:gradFill>
    <a:ln w="9525" cap="flat" cmpd="sng" algn="ctr">
      <a:solidFill>
        <a:schemeClr val="tx1">
          <a:lumMod val="15000"/>
          <a:lumOff val="85000"/>
        </a:schemeClr>
      </a:solidFill>
      <a:prstDash val="solid"/>
      <a:round/>
    </a:ln>
    <a:effectLst/>
    <a:scene3d>
      <a:camera prst="orthographicFront"/>
      <a:lightRig rig="threePt" dir="t"/>
    </a:scene3d>
    <a:sp3d>
      <a:bevelT prst="angle"/>
    </a:sp3d>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5="http://schemas.microsoft.com/office/drawing/2012/chart" uri="{723BEF56-08C2-4564-9609-F4CBC75E7E54}">
      <c15:pivotSource>
        <c15:name>[EMPLOYEE PERFORMANCE MANAGEMENT &amp; PAYROLL MANAGEMENT SYSTEM 0.2.xlsm]PivotChartTable5</c15:name>
        <c15:fmtId val="2"/>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6"/>
              <c:pt idx="0">
                <c:v>ENGINEERING</c:v>
              </c:pt>
              <c:pt idx="1">
                <c:v>FINANCE</c:v>
              </c:pt>
              <c:pt idx="2">
                <c:v>HR</c:v>
              </c:pt>
              <c:pt idx="3">
                <c:v>MARKETING</c:v>
              </c:pt>
              <c:pt idx="4">
                <c:v>OPERATIONS</c:v>
              </c:pt>
              <c:pt idx="5">
                <c:v>SALES</c:v>
              </c:pt>
            </c:strLit>
          </c:cat>
          <c:val>
            <c:numLit>
              <c:formatCode>General</c:formatCode>
              <c:ptCount val="6"/>
              <c:pt idx="0">
                <c:v>98</c:v>
              </c:pt>
              <c:pt idx="1">
                <c:v>183</c:v>
              </c:pt>
              <c:pt idx="2">
                <c:v>154</c:v>
              </c:pt>
              <c:pt idx="3">
                <c:v>153</c:v>
              </c:pt>
              <c:pt idx="4">
                <c:v>150</c:v>
              </c:pt>
              <c:pt idx="5">
                <c:v>185</c:v>
              </c:pt>
            </c:numLit>
          </c:val>
          <c:extLst>
            <c:ext xmlns:c16="http://schemas.microsoft.com/office/drawing/2014/chart" uri="{C3380CC4-5D6E-409C-BE32-E72D297353CC}">
              <c16:uniqueId val="{00000000-7333-403E-8DB9-E358B7A0DD01}"/>
            </c:ext>
          </c:extLst>
        </c:ser>
        <c:dLbls>
          <c:showLegendKey val="0"/>
          <c:showVal val="0"/>
          <c:showCatName val="0"/>
          <c:showSerName val="0"/>
          <c:showPercent val="0"/>
          <c:showBubbleSize val="0"/>
        </c:dLbls>
        <c:gapWidth val="219"/>
        <c:axId val="2144324367"/>
        <c:axId val="1908468975"/>
      </c:barChart>
      <c:catAx>
        <c:axId val="2144324367"/>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908468975"/>
        <c:crosses val="autoZero"/>
        <c:auto val="1"/>
        <c:lblAlgn val="ctr"/>
        <c:lblOffset val="100"/>
        <c:noMultiLvlLbl val="0"/>
        <c:extLst>
          <c:ext xmlns:c15="http://schemas.microsoft.com/office/drawing/2012/chart" uri="{F40574EE-89B7-4290-83BB-5DA773EAF853}">
            <c15:numFmt c:formatCode="General" c:sourceLinked="1"/>
          </c:ext>
        </c:extLst>
      </c:catAx>
      <c:valAx>
        <c:axId val="19084689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144324367"/>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3">
            <a:tint val="50000"/>
          </a:schemeClr>
        </a:gs>
        <a:gs pos="35000">
          <a:schemeClr val="accent3">
            <a:tint val="37000"/>
          </a:schemeClr>
        </a:gs>
        <a:gs pos="100000">
          <a:schemeClr val="accent3">
            <a:tint val="15000"/>
          </a:schemeClr>
        </a:gs>
      </a:gsLst>
      <a:lin ang="16200000" scaled="1"/>
      <a:tileRect/>
    </a:gradFill>
    <a:ln w="9525" cap="flat" cmpd="sng" algn="ctr">
      <a:solidFill>
        <a:schemeClr val="tx1">
          <a:lumMod val="15000"/>
          <a:lumOff val="85000"/>
        </a:schemeClr>
      </a:solidFill>
      <a:prstDash val="solid"/>
      <a:round/>
    </a:ln>
    <a:effectLst>
      <a:softEdge rad="127000"/>
    </a:effectLst>
    <a:scene3d>
      <a:camera prst="orthographicFront"/>
      <a:lightRig rig="threePt" dir="t"/>
    </a:scene3d>
    <a:sp3d>
      <a:bevelT prst="angle"/>
    </a:sp3d>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5="http://schemas.microsoft.com/office/drawing/2012/chart" uri="{723BEF56-08C2-4564-9609-F4CBC75E7E54}">
      <c15:pivotSource>
        <c15:name>[EMPLOYEE PERFORMANCE MANAGEMENT &amp; PAYROLL MANAGEMENT SYSTEM 0.2.xlsm]PivotChartTable7</c15:name>
        <c15:fmtId val="9"/>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a:outerShdw blurRad="63500" sx="102000" sy="102000" algn="ctr" rotWithShape="0">
              <a:prstClr val="black">
                <a:alpha val="20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6"/>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
        <c:spPr>
          <a:solidFill>
            <a:schemeClr val="accent6"/>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4"/>
        <c:spPr>
          <a:solidFill>
            <a:schemeClr val="accent6"/>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5"/>
        <c:spPr>
          <a:solidFill>
            <a:schemeClr val="accent6"/>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6"/>
        <c:spPr>
          <a:solidFill>
            <a:schemeClr val="accent6"/>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7"/>
        <c:spPr>
          <a:solidFill>
            <a:schemeClr val="accent6"/>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6"/>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6"/>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6"/>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6"/>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6"/>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6"/>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anchor="ctr" anchorCtr="1"/>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6">
              <a:shade val="53000"/>
            </a:schemeClr>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anchor="ctr" anchorCtr="1"/>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6">
              <a:shade val="76000"/>
            </a:schemeClr>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anchor="ctr" anchorCtr="1"/>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6"/>
        <c:spPr>
          <a:solidFill>
            <a:schemeClr val="accent6"/>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anchor="ctr" anchorCtr="1"/>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accent6">
              <a:tint val="77000"/>
            </a:schemeClr>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anchor="ctr" anchorCtr="1"/>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8"/>
        <c:spPr>
          <a:solidFill>
            <a:schemeClr val="accent6">
              <a:tint val="54000"/>
            </a:schemeClr>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anchor="ctr" anchorCtr="1"/>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v>Total</c:v>
          </c:tx>
          <c:dPt>
            <c:idx val="0"/>
            <c:bubble3D val="0"/>
            <c:explosion val="44"/>
            <c:spPr>
              <a:solidFill>
                <a:schemeClr val="accent6">
                  <a:shade val="53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E764-44C1-A169-0244ACC9C1F6}"/>
              </c:ext>
            </c:extLst>
          </c:dPt>
          <c:dPt>
            <c:idx val="1"/>
            <c:bubble3D val="0"/>
            <c:spPr>
              <a:solidFill>
                <a:schemeClr val="accent6">
                  <a:shade val="76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E764-44C1-A169-0244ACC9C1F6}"/>
              </c:ext>
            </c:extLst>
          </c:dPt>
          <c:dPt>
            <c:idx val="2"/>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E764-44C1-A169-0244ACC9C1F6}"/>
              </c:ext>
            </c:extLst>
          </c:dPt>
          <c:dPt>
            <c:idx val="3"/>
            <c:bubble3D val="0"/>
            <c:spPr>
              <a:solidFill>
                <a:schemeClr val="accent6">
                  <a:tint val="77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E764-44C1-A169-0244ACC9C1F6}"/>
              </c:ext>
            </c:extLst>
          </c:dPt>
          <c:dPt>
            <c:idx val="4"/>
            <c:bubble3D val="0"/>
            <c:spPr>
              <a:solidFill>
                <a:schemeClr val="accent6">
                  <a:tint val="54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E764-44C1-A169-0244ACC9C1F6}"/>
              </c:ext>
            </c:extLst>
          </c:dPt>
          <c:dLbls>
            <c:dLbl>
              <c:idx val="0"/>
              <c:spPr>
                <a:noFill/>
                <a:ln>
                  <a:noFill/>
                </a:ln>
                <a:effectLst/>
              </c:spPr>
              <c:txPr>
                <a:bodyPr rot="0" spcFirstLastPara="1" vertOverflow="ellipsis" vert="horz" wrap="square" anchor="ctr" anchorCtr="1"/>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E764-44C1-A169-0244ACC9C1F6}"/>
                </c:ext>
              </c:extLst>
            </c:dLbl>
            <c:dLbl>
              <c:idx val="1"/>
              <c:spPr>
                <a:noFill/>
                <a:ln>
                  <a:noFill/>
                </a:ln>
                <a:effectLst/>
              </c:spPr>
              <c:txPr>
                <a:bodyPr rot="0" spcFirstLastPara="1" vertOverflow="ellipsis" vert="horz" wrap="square" anchor="ctr" anchorCtr="1"/>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E764-44C1-A169-0244ACC9C1F6}"/>
                </c:ext>
              </c:extLst>
            </c:dLbl>
            <c:dLbl>
              <c:idx val="2"/>
              <c:spPr>
                <a:noFill/>
                <a:ln>
                  <a:noFill/>
                </a:ln>
                <a:effectLst/>
              </c:spPr>
              <c:txPr>
                <a:bodyPr rot="0" spcFirstLastPara="1" vertOverflow="ellipsis" vert="horz" wrap="square" anchor="ctr" anchorCtr="1"/>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E764-44C1-A169-0244ACC9C1F6}"/>
                </c:ext>
              </c:extLst>
            </c:dLbl>
            <c:dLbl>
              <c:idx val="3"/>
              <c:spPr>
                <a:noFill/>
                <a:ln>
                  <a:noFill/>
                </a:ln>
                <a:effectLst/>
              </c:spPr>
              <c:txPr>
                <a:bodyPr rot="0" spcFirstLastPara="1" vertOverflow="ellipsis" vert="horz" wrap="square" anchor="ctr" anchorCtr="1"/>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7-E764-44C1-A169-0244ACC9C1F6}"/>
                </c:ext>
              </c:extLst>
            </c:dLbl>
            <c:dLbl>
              <c:idx val="4"/>
              <c:spPr>
                <a:noFill/>
                <a:ln>
                  <a:noFill/>
                </a:ln>
                <a:effectLst/>
              </c:spPr>
              <c:txPr>
                <a:bodyPr rot="0" spcFirstLastPara="1" vertOverflow="ellipsis" vert="horz" wrap="square" anchor="ctr" anchorCtr="1"/>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9-E764-44C1-A169-0244ACC9C1F6}"/>
                </c:ext>
              </c:extLst>
            </c:dLbl>
            <c:spPr>
              <a:noFill/>
              <a:ln>
                <a:noFill/>
              </a:ln>
              <a:effectLst/>
            </c:spPr>
            <c:txPr>
              <a:bodyPr rot="0" spcFirstLastPara="1" vertOverflow="ellipsis" vert="horz" wrap="square" anchor="ctr" anchorCtr="1"/>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Average</c:v>
              </c:pt>
              <c:pt idx="1">
                <c:v>Below Average</c:v>
              </c:pt>
              <c:pt idx="2">
                <c:v>Excellent</c:v>
              </c:pt>
              <c:pt idx="3">
                <c:v>Good</c:v>
              </c:pt>
              <c:pt idx="4">
                <c:v>Poor</c:v>
              </c:pt>
            </c:strLit>
          </c:cat>
          <c:val>
            <c:numLit>
              <c:formatCode>General</c:formatCode>
              <c:ptCount val="5"/>
              <c:pt idx="0">
                <c:v>11</c:v>
              </c:pt>
              <c:pt idx="1">
                <c:v>12</c:v>
              </c:pt>
              <c:pt idx="2">
                <c:v>6</c:v>
              </c:pt>
              <c:pt idx="3">
                <c:v>12</c:v>
              </c:pt>
              <c:pt idx="4">
                <c:v>9</c:v>
              </c:pt>
            </c:numLit>
          </c:val>
          <c:extLst>
            <c:ext xmlns:c16="http://schemas.microsoft.com/office/drawing/2014/chart" uri="{C3380CC4-5D6E-409C-BE32-E72D297353CC}">
              <c16:uniqueId val="{0000000A-E764-44C1-A169-0244ACC9C1F6}"/>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4">
            <a:tint val="50000"/>
          </a:schemeClr>
        </a:gs>
        <a:gs pos="35000">
          <a:schemeClr val="accent4">
            <a:tint val="37000"/>
          </a:schemeClr>
        </a:gs>
        <a:gs pos="100000">
          <a:schemeClr val="accent4">
            <a:tint val="15000"/>
          </a:schemeClr>
        </a:gs>
      </a:gsLst>
      <a:lin ang="16200000" scaled="1"/>
      <a:tileRect/>
    </a:gradFill>
    <a:ln w="9525" cap="flat" cmpd="sng" algn="ctr">
      <a:solidFill>
        <a:schemeClr val="tx1">
          <a:lumMod val="15000"/>
          <a:lumOff val="85000"/>
        </a:schemeClr>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5="http://schemas.microsoft.com/office/drawing/2012/chart" uri="{723BEF56-08C2-4564-9609-F4CBC75E7E54}">
      <c15:pivotSource>
        <c15:name>[EMPLOYEE PERFORMANCE MANAGEMENT &amp; PAYROLL MANAGEMENT SYSTEM 0.2.xlsm]PivotChartTable9</c15:name>
        <c15:fmtId val="5"/>
      </c15:pivotSource>
      <c15:pivotOptions>
        <c15:dropZoneFilter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3"/>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4"/>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5"/>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s>
    <c:plotArea>
      <c:layout/>
      <c:pieChart>
        <c:varyColors val="1"/>
        <c:ser>
          <c:idx val="0"/>
          <c:order val="0"/>
          <c:tx>
            <c:v>Total</c:v>
          </c:tx>
          <c:dPt>
            <c:idx val="0"/>
            <c:bubble3D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extLst>
              <c:ext xmlns:c16="http://schemas.microsoft.com/office/drawing/2014/chart" uri="{C3380CC4-5D6E-409C-BE32-E72D297353CC}">
                <c16:uniqueId val="{00000003-DEAF-4092-AB87-928C74BF3CC1}"/>
              </c:ext>
            </c:extLst>
          </c:dPt>
          <c:dPt>
            <c:idx val="1"/>
            <c:bubble3D val="0"/>
            <c:spPr>
              <a:gradFill>
                <a:gsLst>
                  <a:gs pos="0">
                    <a:schemeClr val="accent2">
                      <a:shade val="51000"/>
                    </a:schemeClr>
                  </a:gs>
                  <a:gs pos="80000">
                    <a:schemeClr val="accent2">
                      <a:shade val="93000"/>
                    </a:schemeClr>
                  </a:gs>
                  <a:gs pos="100000">
                    <a:schemeClr val="accent2">
                      <a:shade val="94000"/>
                    </a:schemeClr>
                  </a:gs>
                </a:gsLst>
                <a:lin ang="16200000" scaled="0"/>
                <a:tileRect/>
              </a:gradFill>
              <a:ln>
                <a:noFill/>
              </a:ln>
              <a:effectLst/>
            </c:spPr>
            <c:extLst>
              <c:ext xmlns:c16="http://schemas.microsoft.com/office/drawing/2014/chart" uri="{C3380CC4-5D6E-409C-BE32-E72D297353CC}">
                <c16:uniqueId val="{00000004-DEAF-4092-AB87-928C74BF3CC1}"/>
              </c:ext>
            </c:extLst>
          </c:dPt>
          <c:dPt>
            <c:idx val="2"/>
            <c:bubble3D val="0"/>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extLst>
              <c:ext xmlns:c16="http://schemas.microsoft.com/office/drawing/2014/chart" uri="{C3380CC4-5D6E-409C-BE32-E72D297353CC}">
                <c16:uniqueId val="{00000005-DEAF-4092-AB87-928C74BF3CC1}"/>
              </c:ext>
            </c:extLst>
          </c:dPt>
          <c:dPt>
            <c:idx val="3"/>
            <c:bubble3D val="0"/>
            <c:spPr>
              <a:gradFill>
                <a:gsLst>
                  <a:gs pos="0">
                    <a:schemeClr val="accent4">
                      <a:shade val="51000"/>
                    </a:schemeClr>
                  </a:gs>
                  <a:gs pos="80000">
                    <a:schemeClr val="accent4">
                      <a:shade val="93000"/>
                    </a:schemeClr>
                  </a:gs>
                  <a:gs pos="100000">
                    <a:schemeClr val="accent4">
                      <a:shade val="94000"/>
                    </a:schemeClr>
                  </a:gs>
                </a:gsLst>
                <a:lin ang="16200000" scaled="0"/>
                <a:tileRect/>
              </a:gradFill>
              <a:ln>
                <a:noFill/>
              </a:ln>
              <a:effectLst/>
            </c:spPr>
            <c:extLst>
              <c:ext xmlns:c16="http://schemas.microsoft.com/office/drawing/2014/chart" uri="{C3380CC4-5D6E-409C-BE32-E72D297353CC}">
                <c16:uniqueId val="{00000006-DEAF-4092-AB87-928C74BF3CC1}"/>
              </c:ext>
            </c:extLst>
          </c:dPt>
          <c:dPt>
            <c:idx val="4"/>
            <c:bubble3D val="0"/>
            <c:spPr>
              <a:gradFill>
                <a:gsLst>
                  <a:gs pos="0">
                    <a:schemeClr val="accent5">
                      <a:shade val="51000"/>
                    </a:schemeClr>
                  </a:gs>
                  <a:gs pos="80000">
                    <a:schemeClr val="accent5">
                      <a:shade val="93000"/>
                    </a:schemeClr>
                  </a:gs>
                  <a:gs pos="100000">
                    <a:schemeClr val="accent5">
                      <a:shade val="94000"/>
                    </a:schemeClr>
                  </a:gs>
                </a:gsLst>
                <a:lin ang="16200000" scaled="0"/>
                <a:tileRect/>
              </a:gradFill>
              <a:ln>
                <a:noFill/>
              </a:ln>
              <a:effectLst/>
            </c:spPr>
            <c:extLst>
              <c:ext xmlns:c16="http://schemas.microsoft.com/office/drawing/2014/chart" uri="{C3380CC4-5D6E-409C-BE32-E72D297353CC}">
                <c16:uniqueId val="{00000007-DEAF-4092-AB87-928C74BF3CC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Lit>
              <c:ptCount val="5"/>
              <c:pt idx="0">
                <c:v>Average</c:v>
              </c:pt>
              <c:pt idx="1">
                <c:v>Below Average</c:v>
              </c:pt>
              <c:pt idx="2">
                <c:v>Excellent</c:v>
              </c:pt>
              <c:pt idx="3">
                <c:v>Good</c:v>
              </c:pt>
              <c:pt idx="4">
                <c:v>Poor</c:v>
              </c:pt>
            </c:strLit>
          </c:cat>
          <c:val>
            <c:numLit>
              <c:formatCode>General</c:formatCode>
              <c:ptCount val="5"/>
              <c:pt idx="0">
                <c:v>11</c:v>
              </c:pt>
              <c:pt idx="1">
                <c:v>12</c:v>
              </c:pt>
              <c:pt idx="2">
                <c:v>6</c:v>
              </c:pt>
              <c:pt idx="3">
                <c:v>12</c:v>
              </c:pt>
              <c:pt idx="4">
                <c:v>9</c:v>
              </c:pt>
            </c:numLit>
          </c:val>
          <c:extLst>
            <c:ext xmlns:c16="http://schemas.microsoft.com/office/drawing/2014/chart" uri="{C3380CC4-5D6E-409C-BE32-E72D297353CC}">
              <c16:uniqueId val="{00000000-DEAF-4092-AB87-928C74BF3CC1}"/>
            </c:ext>
          </c:extLst>
        </c:ser>
        <c:dLbls>
          <c:dLblPos val="out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5="http://schemas.microsoft.com/office/drawing/2012/chart" uri="{723BEF56-08C2-4564-9609-F4CBC75E7E54}">
      <c15:pivotSource>
        <c15:name>[EMPLOYEE PERFORMANCE MANAGEMENT &amp; PAYROLL MANAGEMENT SYSTEM 0.2.xlsm]PivotChartTable8</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6"/>
              <c:pt idx="0">
                <c:v>ENGINEERING</c:v>
              </c:pt>
              <c:pt idx="1">
                <c:v>FINANCE</c:v>
              </c:pt>
              <c:pt idx="2">
                <c:v>HR</c:v>
              </c:pt>
              <c:pt idx="3">
                <c:v>MARKETING</c:v>
              </c:pt>
              <c:pt idx="4">
                <c:v>OPERATIONS</c:v>
              </c:pt>
              <c:pt idx="5">
                <c:v>SALES</c:v>
              </c:pt>
            </c:strLit>
          </c:cat>
          <c:val>
            <c:numLit>
              <c:formatCode>General</c:formatCode>
              <c:ptCount val="6"/>
              <c:pt idx="0">
                <c:v>98</c:v>
              </c:pt>
              <c:pt idx="1">
                <c:v>183</c:v>
              </c:pt>
              <c:pt idx="2">
                <c:v>154</c:v>
              </c:pt>
              <c:pt idx="3">
                <c:v>153</c:v>
              </c:pt>
              <c:pt idx="4">
                <c:v>150</c:v>
              </c:pt>
              <c:pt idx="5">
                <c:v>185</c:v>
              </c:pt>
            </c:numLit>
          </c:val>
          <c:extLst>
            <c:ext xmlns:c16="http://schemas.microsoft.com/office/drawing/2014/chart" uri="{C3380CC4-5D6E-409C-BE32-E72D297353CC}">
              <c16:uniqueId val="{0000003E-C1C9-4D98-A920-535355181899}"/>
            </c:ext>
          </c:extLst>
        </c:ser>
        <c:dLbls>
          <c:dLblPos val="inEnd"/>
          <c:showLegendKey val="0"/>
          <c:showVal val="1"/>
          <c:showCatName val="0"/>
          <c:showSerName val="0"/>
          <c:showPercent val="0"/>
          <c:showBubbleSize val="0"/>
        </c:dLbls>
        <c:gapWidth val="65"/>
        <c:axId val="2144324367"/>
        <c:axId val="1908468975"/>
      </c:barChart>
      <c:catAx>
        <c:axId val="2144324367"/>
        <c:scaling>
          <c:orientation val="minMax"/>
        </c:scaling>
        <c:delete val="0"/>
        <c:axPos val="b"/>
        <c:numFmt formatCode="General" sourceLinked="0"/>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908468975"/>
        <c:crosses val="autoZero"/>
        <c:auto val="1"/>
        <c:lblAlgn val="ctr"/>
        <c:lblOffset val="100"/>
        <c:noMultiLvlLbl val="0"/>
        <c:extLst>
          <c:ext xmlns:c15="http://schemas.microsoft.com/office/drawing/2012/chart" uri="{F40574EE-89B7-4290-83BB-5DA773EAF853}">
            <c15:numFmt c:formatCode="General" c:sourceLinked="1"/>
          </c:ext>
        </c:extLst>
      </c:catAx>
      <c:valAx>
        <c:axId val="1908468975"/>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0"/>
        <c:majorTickMark val="none"/>
        <c:minorTickMark val="none"/>
        <c:tickLblPos val="nextTo"/>
        <c:crossAx val="2144324367"/>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5="http://schemas.microsoft.com/office/drawing/2012/chart" uri="{723BEF56-08C2-4564-9609-F4CBC75E7E54}">
      <c15:pivotSource>
        <c15:name>[EMPLOYEE PERFORMANCE MANAGEMENT &amp; PAYROLL MANAGEMENT SYSTEM 0.2.xlsm]PivotChartTable6</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diamond"/>
          <c:size val="5"/>
          <c:spPr>
            <a:gradFill>
              <a:gsLst>
                <a:gs pos="0">
                  <a:schemeClr val="accent1">
                    <a:shade val="51000"/>
                  </a:schemeClr>
                </a:gs>
                <a:gs pos="80000">
                  <a:schemeClr val="accent1">
                    <a:shade val="93000"/>
                  </a:schemeClr>
                </a:gs>
                <a:gs pos="100000">
                  <a:schemeClr val="accent1">
                    <a:shade val="94000"/>
                  </a:schemeClr>
                </a:gs>
              </a:gsLst>
              <a:lin ang="16200000" scaled="0"/>
              <a:tileRect/>
            </a:gra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4359142607174101E-2"/>
          <c:y val="0.13325011202867934"/>
          <c:w val="0.54066863517060371"/>
          <c:h val="0.7805780679854043"/>
        </c:manualLayout>
      </c:layout>
      <c:barChart>
        <c:barDir val="bar"/>
        <c:grouping val="clustered"/>
        <c:varyColors val="0"/>
        <c:ser>
          <c:idx val="0"/>
          <c:order val="0"/>
          <c:tx>
            <c:v>ENGINEERING</c:v>
          </c:tx>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1"/>
              <c:pt idx="0">
                <c:v>Total</c:v>
              </c:pt>
            </c:strLit>
          </c:cat>
          <c:val>
            <c:numLit>
              <c:formatCode>General</c:formatCode>
              <c:ptCount val="1"/>
              <c:pt idx="0">
                <c:v>559128</c:v>
              </c:pt>
            </c:numLit>
          </c:val>
          <c:extLst>
            <c:ext xmlns:c16="http://schemas.microsoft.com/office/drawing/2014/chart" uri="{C3380CC4-5D6E-409C-BE32-E72D297353CC}">
              <c16:uniqueId val="{00000000-27D0-4C6A-92AF-8C541F90A4BE}"/>
            </c:ext>
          </c:extLst>
        </c:ser>
        <c:ser>
          <c:idx val="1"/>
          <c:order val="1"/>
          <c:tx>
            <c:v>FINANCE</c:v>
          </c:tx>
          <c:spPr>
            <a:gradFill>
              <a:gsLst>
                <a:gs pos="0">
                  <a:schemeClr val="accent2">
                    <a:shade val="51000"/>
                  </a:schemeClr>
                </a:gs>
                <a:gs pos="80000">
                  <a:schemeClr val="accent2">
                    <a:shade val="93000"/>
                  </a:schemeClr>
                </a:gs>
                <a:gs pos="100000">
                  <a:schemeClr val="accent2">
                    <a:shade val="94000"/>
                  </a:schemeClr>
                </a:gs>
              </a:gsLst>
              <a:lin ang="1620000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1"/>
              <c:pt idx="0">
                <c:v>Total</c:v>
              </c:pt>
            </c:strLit>
          </c:cat>
          <c:val>
            <c:numLit>
              <c:formatCode>General</c:formatCode>
              <c:ptCount val="1"/>
              <c:pt idx="0">
                <c:v>1183233</c:v>
              </c:pt>
            </c:numLit>
          </c:val>
          <c:extLst>
            <c:ext xmlns:c16="http://schemas.microsoft.com/office/drawing/2014/chart" uri="{C3380CC4-5D6E-409C-BE32-E72D297353CC}">
              <c16:uniqueId val="{00000002-27D0-4C6A-92AF-8C541F90A4BE}"/>
            </c:ext>
          </c:extLst>
        </c:ser>
        <c:ser>
          <c:idx val="2"/>
          <c:order val="2"/>
          <c:tx>
            <c:v>HR</c:v>
          </c:tx>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1"/>
              <c:pt idx="0">
                <c:v>Total</c:v>
              </c:pt>
            </c:strLit>
          </c:cat>
          <c:val>
            <c:numLit>
              <c:formatCode>General</c:formatCode>
              <c:ptCount val="1"/>
              <c:pt idx="0">
                <c:v>739610</c:v>
              </c:pt>
            </c:numLit>
          </c:val>
          <c:extLst>
            <c:ext xmlns:c16="http://schemas.microsoft.com/office/drawing/2014/chart" uri="{C3380CC4-5D6E-409C-BE32-E72D297353CC}">
              <c16:uniqueId val="{00000003-27D0-4C6A-92AF-8C541F90A4BE}"/>
            </c:ext>
          </c:extLst>
        </c:ser>
        <c:ser>
          <c:idx val="3"/>
          <c:order val="3"/>
          <c:tx>
            <c:v>MARKETING</c:v>
          </c:tx>
          <c:spPr>
            <a:gradFill>
              <a:gsLst>
                <a:gs pos="0">
                  <a:schemeClr val="accent4">
                    <a:shade val="51000"/>
                  </a:schemeClr>
                </a:gs>
                <a:gs pos="80000">
                  <a:schemeClr val="accent4">
                    <a:shade val="93000"/>
                  </a:schemeClr>
                </a:gs>
                <a:gs pos="100000">
                  <a:schemeClr val="accent4">
                    <a:shade val="94000"/>
                  </a:schemeClr>
                </a:gs>
              </a:gsLst>
              <a:lin ang="1620000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1"/>
              <c:pt idx="0">
                <c:v>Total</c:v>
              </c:pt>
            </c:strLit>
          </c:cat>
          <c:val>
            <c:numLit>
              <c:formatCode>General</c:formatCode>
              <c:ptCount val="1"/>
              <c:pt idx="0">
                <c:v>1124714</c:v>
              </c:pt>
            </c:numLit>
          </c:val>
          <c:extLst>
            <c:ext xmlns:c16="http://schemas.microsoft.com/office/drawing/2014/chart" uri="{C3380CC4-5D6E-409C-BE32-E72D297353CC}">
              <c16:uniqueId val="{00000004-27D0-4C6A-92AF-8C541F90A4BE}"/>
            </c:ext>
          </c:extLst>
        </c:ser>
        <c:ser>
          <c:idx val="4"/>
          <c:order val="4"/>
          <c:tx>
            <c:v>OPERATIONS</c:v>
          </c:tx>
          <c:spPr>
            <a:gradFill>
              <a:gsLst>
                <a:gs pos="0">
                  <a:schemeClr val="accent5">
                    <a:shade val="51000"/>
                  </a:schemeClr>
                </a:gs>
                <a:gs pos="80000">
                  <a:schemeClr val="accent5">
                    <a:shade val="93000"/>
                  </a:schemeClr>
                </a:gs>
                <a:gs pos="100000">
                  <a:schemeClr val="accent5">
                    <a:shade val="94000"/>
                  </a:schemeClr>
                </a:gs>
              </a:gsLst>
              <a:lin ang="1620000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1"/>
              <c:pt idx="0">
                <c:v>Total</c:v>
              </c:pt>
            </c:strLit>
          </c:cat>
          <c:val>
            <c:numLit>
              <c:formatCode>General</c:formatCode>
              <c:ptCount val="1"/>
              <c:pt idx="0">
                <c:v>774519</c:v>
              </c:pt>
            </c:numLit>
          </c:val>
          <c:extLst>
            <c:ext xmlns:c16="http://schemas.microsoft.com/office/drawing/2014/chart" uri="{C3380CC4-5D6E-409C-BE32-E72D297353CC}">
              <c16:uniqueId val="{00000005-27D0-4C6A-92AF-8C541F90A4BE}"/>
            </c:ext>
          </c:extLst>
        </c:ser>
        <c:ser>
          <c:idx val="5"/>
          <c:order val="5"/>
          <c:tx>
            <c:v>SALES</c:v>
          </c:tx>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1"/>
              <c:pt idx="0">
                <c:v>Total</c:v>
              </c:pt>
            </c:strLit>
          </c:cat>
          <c:val>
            <c:numLit>
              <c:formatCode>General</c:formatCode>
              <c:ptCount val="1"/>
              <c:pt idx="0">
                <c:v>847499</c:v>
              </c:pt>
            </c:numLit>
          </c:val>
          <c:extLst>
            <c:ext xmlns:c16="http://schemas.microsoft.com/office/drawing/2014/chart" uri="{C3380CC4-5D6E-409C-BE32-E72D297353CC}">
              <c16:uniqueId val="{00000006-27D0-4C6A-92AF-8C541F90A4BE}"/>
            </c:ext>
          </c:extLst>
        </c:ser>
        <c:dLbls>
          <c:dLblPos val="outEnd"/>
          <c:showLegendKey val="0"/>
          <c:showVal val="1"/>
          <c:showCatName val="0"/>
          <c:showSerName val="0"/>
          <c:showPercent val="0"/>
          <c:showBubbleSize val="0"/>
        </c:dLbls>
        <c:gapWidth val="115"/>
        <c:overlap val="-20"/>
        <c:axId val="1469636160"/>
        <c:axId val="858617872"/>
      </c:barChart>
      <c:catAx>
        <c:axId val="1469636160"/>
        <c:scaling>
          <c:orientation val="minMax"/>
        </c:scaling>
        <c:delete val="0"/>
        <c:axPos val="l"/>
        <c:numFmt formatCode="General" sourceLinked="0"/>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58617872"/>
        <c:crosses val="autoZero"/>
        <c:auto val="1"/>
        <c:lblAlgn val="ctr"/>
        <c:lblOffset val="100"/>
        <c:noMultiLvlLbl val="0"/>
        <c:extLst>
          <c:ext xmlns:c15="http://schemas.microsoft.com/office/drawing/2012/chart" uri="{F40574EE-89B7-4290-83BB-5DA773EAF853}">
            <c15:numFmt c:formatCode="General" c:sourceLinked="1"/>
          </c:ext>
        </c:extLst>
      </c:catAx>
      <c:valAx>
        <c:axId val="85861787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69636160"/>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5="http://schemas.microsoft.com/office/drawing/2012/chart" uri="{723BEF56-08C2-4564-9609-F4CBC75E7E54}">
      <c15:pivotSource>
        <c15:name>[EMPLOYEE PERFORMANCE MANAGEMENT &amp; PAYROLL MANAGEMENT SYSTEM 0.2.xlsm]PivotChartTable1</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2"/>
              <c:pt idx="0">
                <c:v>Female</c:v>
              </c:pt>
              <c:pt idx="1">
                <c:v>Male</c:v>
              </c:pt>
            </c:strLit>
          </c:cat>
          <c:val>
            <c:numLit>
              <c:formatCode>General</c:formatCode>
              <c:ptCount val="2"/>
              <c:pt idx="0">
                <c:v>1831</c:v>
              </c:pt>
              <c:pt idx="1">
                <c:v>1797</c:v>
              </c:pt>
            </c:numLit>
          </c:val>
          <c:extLst>
            <c:ext xmlns:c16="http://schemas.microsoft.com/office/drawing/2014/chart" uri="{C3380CC4-5D6E-409C-BE32-E72D297353CC}">
              <c16:uniqueId val="{00000000-2A3F-40B0-BD93-C6CE502ADC8F}"/>
            </c:ext>
          </c:extLst>
        </c:ser>
        <c:dLbls>
          <c:dLblPos val="inEnd"/>
          <c:showLegendKey val="0"/>
          <c:showVal val="1"/>
          <c:showCatName val="0"/>
          <c:showSerName val="0"/>
          <c:showPercent val="0"/>
          <c:showBubbleSize val="0"/>
        </c:dLbls>
        <c:gapWidth val="65"/>
        <c:axId val="2141439439"/>
        <c:axId val="1908467055"/>
      </c:barChart>
      <c:catAx>
        <c:axId val="2141439439"/>
        <c:scaling>
          <c:orientation val="minMax"/>
        </c:scaling>
        <c:delete val="0"/>
        <c:axPos val="b"/>
        <c:numFmt formatCode="General" sourceLinked="0"/>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908467055"/>
        <c:crosses val="autoZero"/>
        <c:auto val="1"/>
        <c:lblAlgn val="ctr"/>
        <c:lblOffset val="100"/>
        <c:noMultiLvlLbl val="0"/>
        <c:extLst>
          <c:ext xmlns:c15="http://schemas.microsoft.com/office/drawing/2012/chart" uri="{F40574EE-89B7-4290-83BB-5DA773EAF853}">
            <c15:numFmt c:formatCode="General" c:sourceLinked="1"/>
          </c:ext>
        </c:extLst>
      </c:catAx>
      <c:valAx>
        <c:axId val="1908467055"/>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0"/>
        <c:majorTickMark val="none"/>
        <c:minorTickMark val="none"/>
        <c:tickLblPos val="nextTo"/>
        <c:crossAx val="2141439439"/>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5="http://schemas.microsoft.com/office/drawing/2012/chart" uri="{723BEF56-08C2-4564-9609-F4CBC75E7E54}">
      <c15:pivotSource>
        <c15:name>[EMPLOYEE PERFORMANCE MANAGEMENT &amp; PAYROLL MANAGEMENT SYSTEM 0.2.xlsm]PivotChartTable4</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xml><?xml version="1.0" encoding="utf-8"?>
<cs:colorStyle xmlns:cs="http://schemas.microsoft.com/office/drawing/2012/chartStyle" xmlns:a="http://schemas.openxmlformats.org/drawingml/2006/main" meth="withinLinearReversed" id="23">
  <a:schemeClr val="accent3"/>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9">
  <a:schemeClr val="accent6"/>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128202; Dashboard'!A1"/><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7.svg"/><Relationship Id="rId18" Type="http://schemas.openxmlformats.org/officeDocument/2006/relationships/image" Target="../media/image11.svg"/><Relationship Id="rId26" Type="http://schemas.openxmlformats.org/officeDocument/2006/relationships/image" Target="../media/image18.png"/><Relationship Id="rId3" Type="http://schemas.openxmlformats.org/officeDocument/2006/relationships/chart" Target="../charts/chart5.xml"/><Relationship Id="rId21" Type="http://schemas.openxmlformats.org/officeDocument/2006/relationships/image" Target="../media/image14.png"/><Relationship Id="rId7" Type="http://schemas.microsoft.com/office/2017/06/relationships/model3d" Target="../media/model3d1.glb"/><Relationship Id="rId12" Type="http://schemas.openxmlformats.org/officeDocument/2006/relationships/image" Target="../media/image6.png"/><Relationship Id="rId17" Type="http://schemas.openxmlformats.org/officeDocument/2006/relationships/image" Target="../media/image10.png"/><Relationship Id="rId25" Type="http://schemas.openxmlformats.org/officeDocument/2006/relationships/hyperlink" Target="#'&#9989; Clean Data'!A1"/><Relationship Id="rId2" Type="http://schemas.openxmlformats.org/officeDocument/2006/relationships/chart" Target="../charts/chart4.xml"/><Relationship Id="rId16" Type="http://schemas.openxmlformats.org/officeDocument/2006/relationships/image" Target="../media/image9.svg"/><Relationship Id="rId20" Type="http://schemas.openxmlformats.org/officeDocument/2006/relationships/image" Target="../media/image13.svg"/><Relationship Id="rId29" Type="http://schemas.openxmlformats.org/officeDocument/2006/relationships/image" Target="../media/image21.svg"/><Relationship Id="rId1" Type="http://schemas.openxmlformats.org/officeDocument/2006/relationships/chart" Target="../charts/chart3.xml"/><Relationship Id="rId6" Type="http://schemas.openxmlformats.org/officeDocument/2006/relationships/image" Target="../media/image2.svg"/><Relationship Id="rId11" Type="http://schemas.openxmlformats.org/officeDocument/2006/relationships/hyperlink" Target="#'&#127968; Home'!A1"/><Relationship Id="rId24" Type="http://schemas.openxmlformats.org/officeDocument/2006/relationships/image" Target="../media/image17.svg"/><Relationship Id="rId5" Type="http://schemas.openxmlformats.org/officeDocument/2006/relationships/image" Target="../media/image1.png"/><Relationship Id="rId15" Type="http://schemas.openxmlformats.org/officeDocument/2006/relationships/image" Target="../media/image8.png"/><Relationship Id="rId23" Type="http://schemas.openxmlformats.org/officeDocument/2006/relationships/image" Target="../media/image16.png"/><Relationship Id="rId28" Type="http://schemas.openxmlformats.org/officeDocument/2006/relationships/image" Target="../media/image20.png"/><Relationship Id="rId10" Type="http://schemas.openxmlformats.org/officeDocument/2006/relationships/image" Target="../media/image5.svg"/><Relationship Id="rId19" Type="http://schemas.openxmlformats.org/officeDocument/2006/relationships/image" Target="../media/image12.png"/><Relationship Id="rId4" Type="http://schemas.openxmlformats.org/officeDocument/2006/relationships/chart" Target="../charts/chart6.xml"/><Relationship Id="rId9" Type="http://schemas.openxmlformats.org/officeDocument/2006/relationships/image" Target="../media/image4.png"/><Relationship Id="rId14" Type="http://schemas.openxmlformats.org/officeDocument/2006/relationships/hyperlink" Target="#'&#128194; Raw Data'!A1"/><Relationship Id="rId22" Type="http://schemas.openxmlformats.org/officeDocument/2006/relationships/image" Target="../media/image15.svg"/><Relationship Id="rId27" Type="http://schemas.openxmlformats.org/officeDocument/2006/relationships/image" Target="../media/image19.svg"/></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1</xdr:col>
      <xdr:colOff>14110</xdr:colOff>
      <xdr:row>11</xdr:row>
      <xdr:rowOff>28221</xdr:rowOff>
    </xdr:from>
    <xdr:to>
      <xdr:col>9</xdr:col>
      <xdr:colOff>649110</xdr:colOff>
      <xdr:row>37</xdr:row>
      <xdr:rowOff>14110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838133</xdr:colOff>
      <xdr:row>11</xdr:row>
      <xdr:rowOff>48273</xdr:rowOff>
    </xdr:from>
    <xdr:to>
      <xdr:col>18</xdr:col>
      <xdr:colOff>321585</xdr:colOff>
      <xdr:row>37</xdr:row>
      <xdr:rowOff>29538</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554181</xdr:colOff>
      <xdr:row>3</xdr:row>
      <xdr:rowOff>9896</xdr:rowOff>
    </xdr:from>
    <xdr:to>
      <xdr:col>21</xdr:col>
      <xdr:colOff>425532</xdr:colOff>
      <xdr:row>4</xdr:row>
      <xdr:rowOff>286987</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BC2E0244-26C4-C1E9-CEA4-0AC83CC6853F}"/>
            </a:ext>
          </a:extLst>
        </xdr:cNvPr>
        <xdr:cNvSpPr/>
      </xdr:nvSpPr>
      <xdr:spPr>
        <a:xfrm>
          <a:off x="17100467" y="1237013"/>
          <a:ext cx="1058883" cy="593766"/>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2800" b="1"/>
            <a:t>NEXT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30480</xdr:colOff>
      <xdr:row>3</xdr:row>
      <xdr:rowOff>27566</xdr:rowOff>
    </xdr:from>
    <xdr:to>
      <xdr:col>1</xdr:col>
      <xdr:colOff>265803</xdr:colOff>
      <xdr:row>58</xdr:row>
      <xdr:rowOff>80906</xdr:rowOff>
    </xdr:to>
    <xdr:sp macro="" textlink="">
      <xdr:nvSpPr>
        <xdr:cNvPr id="66" name="Rectangle 65">
          <a:extLst>
            <a:ext uri="{FF2B5EF4-FFF2-40B4-BE49-F238E27FC236}">
              <a16:creationId xmlns:a16="http://schemas.microsoft.com/office/drawing/2014/main" id="{6A7ED471-50BD-B3D7-F58C-912BD6D74E5D}"/>
            </a:ext>
          </a:extLst>
        </xdr:cNvPr>
        <xdr:cNvSpPr/>
      </xdr:nvSpPr>
      <xdr:spPr>
        <a:xfrm>
          <a:off x="30480" y="972446"/>
          <a:ext cx="2551803" cy="1437894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249639</xdr:colOff>
      <xdr:row>16</xdr:row>
      <xdr:rowOff>75</xdr:rowOff>
    </xdr:from>
    <xdr:to>
      <xdr:col>18</xdr:col>
      <xdr:colOff>1462215</xdr:colOff>
      <xdr:row>58</xdr:row>
      <xdr:rowOff>53160</xdr:rowOff>
    </xdr:to>
    <xdr:sp macro="" textlink="">
      <xdr:nvSpPr>
        <xdr:cNvPr id="3" name="Rectangle 2">
          <a:extLst>
            <a:ext uri="{FF2B5EF4-FFF2-40B4-BE49-F238E27FC236}">
              <a16:creationId xmlns:a16="http://schemas.microsoft.com/office/drawing/2014/main" id="{BF2DBA5E-D156-AA35-201F-59D0AA33B64B}"/>
            </a:ext>
          </a:extLst>
        </xdr:cNvPr>
        <xdr:cNvSpPr/>
      </xdr:nvSpPr>
      <xdr:spPr>
        <a:xfrm>
          <a:off x="2556234" y="4345534"/>
          <a:ext cx="14969765" cy="10844653"/>
        </a:xfrm>
        <a:prstGeom prst="rect">
          <a:avLst/>
        </a:prstGeom>
        <a:gradFill flip="none" rotWithShape="1">
          <a:gsLst>
            <a:gs pos="31000">
              <a:schemeClr val="accent5">
                <a:lumMod val="40000"/>
                <a:lumOff val="60000"/>
              </a:schemeClr>
            </a:gs>
            <a:gs pos="63000">
              <a:schemeClr val="accent5">
                <a:lumMod val="95000"/>
                <a:lumOff val="5000"/>
              </a:schemeClr>
            </a:gs>
            <a:gs pos="82000">
              <a:schemeClr val="accent5">
                <a:lumMod val="60000"/>
              </a:schemeClr>
            </a:gs>
          </a:gsLst>
          <a:path path="circle">
            <a:fillToRect l="50000" t="130000" r="50000" b="-30000"/>
          </a:path>
          <a:tileRect/>
        </a:gradFill>
        <a:ln>
          <a:noFill/>
        </a:ln>
        <a:scene3d>
          <a:camera prst="orthographicFront"/>
          <a:lightRig rig="threePt" dir="t"/>
        </a:scene3d>
        <a:sp3d>
          <a:bevel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786192</xdr:colOff>
      <xdr:row>27</xdr:row>
      <xdr:rowOff>241903</xdr:rowOff>
    </xdr:from>
    <xdr:to>
      <xdr:col>10</xdr:col>
      <xdr:colOff>0</xdr:colOff>
      <xdr:row>41</xdr:row>
      <xdr:rowOff>0</xdr:rowOff>
    </xdr:to>
    <xdr:graphicFrame macro="">
      <xdr:nvGraphicFramePr>
        <xdr:cNvPr id="5" name="Chart 4">
          <a:extLst>
            <a:ext uri="{FF2B5EF4-FFF2-40B4-BE49-F238E27FC236}">
              <a16:creationId xmlns:a16="http://schemas.microsoft.com/office/drawing/2014/main" id="{23DE1B2D-830E-49CD-8CEB-49490BFAF4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xdr:colOff>
      <xdr:row>27</xdr:row>
      <xdr:rowOff>214877</xdr:rowOff>
    </xdr:from>
    <xdr:to>
      <xdr:col>18</xdr:col>
      <xdr:colOff>1</xdr:colOff>
      <xdr:row>41</xdr:row>
      <xdr:rowOff>0</xdr:rowOff>
    </xdr:to>
    <xdr:graphicFrame macro="">
      <xdr:nvGraphicFramePr>
        <xdr:cNvPr id="6" name="Chart 5">
          <a:extLst>
            <a:ext uri="{FF2B5EF4-FFF2-40B4-BE49-F238E27FC236}">
              <a16:creationId xmlns:a16="http://schemas.microsoft.com/office/drawing/2014/main" id="{9CB73B45-1966-4CE5-8ECA-2A2F52560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42</xdr:row>
      <xdr:rowOff>0</xdr:rowOff>
    </xdr:from>
    <xdr:to>
      <xdr:col>10</xdr:col>
      <xdr:colOff>0</xdr:colOff>
      <xdr:row>55</xdr:row>
      <xdr:rowOff>54904</xdr:rowOff>
    </xdr:to>
    <xdr:graphicFrame macro="">
      <xdr:nvGraphicFramePr>
        <xdr:cNvPr id="7" name="Chart 6">
          <a:extLst>
            <a:ext uri="{FF2B5EF4-FFF2-40B4-BE49-F238E27FC236}">
              <a16:creationId xmlns:a16="http://schemas.microsoft.com/office/drawing/2014/main" id="{48FA3E6A-F08F-475E-ACF4-CEC173F158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0</xdr:colOff>
      <xdr:row>42</xdr:row>
      <xdr:rowOff>0</xdr:rowOff>
    </xdr:from>
    <xdr:to>
      <xdr:col>18</xdr:col>
      <xdr:colOff>0</xdr:colOff>
      <xdr:row>55</xdr:row>
      <xdr:rowOff>34979</xdr:rowOff>
    </xdr:to>
    <xdr:graphicFrame macro="">
      <xdr:nvGraphicFramePr>
        <xdr:cNvPr id="8" name="Chart 7">
          <a:extLst>
            <a:ext uri="{FF2B5EF4-FFF2-40B4-BE49-F238E27FC236}">
              <a16:creationId xmlns:a16="http://schemas.microsoft.com/office/drawing/2014/main" id="{7286C253-B77D-457D-89D7-0276F2DE99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759097</xdr:colOff>
      <xdr:row>17</xdr:row>
      <xdr:rowOff>90055</xdr:rowOff>
    </xdr:from>
    <xdr:to>
      <xdr:col>18</xdr:col>
      <xdr:colOff>844378</xdr:colOff>
      <xdr:row>26</xdr:row>
      <xdr:rowOff>67788</xdr:rowOff>
    </xdr:to>
    <xdr:sp macro="" textlink="">
      <xdr:nvSpPr>
        <xdr:cNvPr id="9" name="Rectangle 8">
          <a:extLst>
            <a:ext uri="{FF2B5EF4-FFF2-40B4-BE49-F238E27FC236}">
              <a16:creationId xmlns:a16="http://schemas.microsoft.com/office/drawing/2014/main" id="{16538D76-318B-26B1-76BE-D4676EE9A885}"/>
            </a:ext>
          </a:extLst>
        </xdr:cNvPr>
        <xdr:cNvSpPr/>
      </xdr:nvSpPr>
      <xdr:spPr>
        <a:xfrm>
          <a:off x="3065692" y="4744433"/>
          <a:ext cx="13842470" cy="2407896"/>
        </a:xfrm>
        <a:prstGeom prst="rect">
          <a:avLst/>
        </a:prstGeom>
        <a:effectLst>
          <a:outerShdw blurRad="50800" dist="38100" dir="5400000" algn="t" rotWithShape="0">
            <a:prstClr val="black">
              <a:alpha val="40000"/>
            </a:prstClr>
          </a:outerShdw>
          <a:reflection blurRad="6350" stA="52000" endA="300" endPos="35000" dir="5400000" sy="-100000" algn="bl" rotWithShape="0"/>
        </a:effectLst>
        <a:scene3d>
          <a:camera prst="orthographicFront"/>
          <a:lightRig rig="threePt" dir="t"/>
        </a:scene3d>
        <a:sp3d>
          <a:bevelT w="139700" h="139700" prst="divot"/>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3</xdr:col>
      <xdr:colOff>673006</xdr:colOff>
      <xdr:row>17</xdr:row>
      <xdr:rowOff>236401</xdr:rowOff>
    </xdr:from>
    <xdr:to>
      <xdr:col>6</xdr:col>
      <xdr:colOff>888908</xdr:colOff>
      <xdr:row>21</xdr:row>
      <xdr:rowOff>50819</xdr:rowOff>
    </xdr:to>
    <mc:AlternateContent xmlns:mc="http://schemas.openxmlformats.org/markup-compatibility/2006" xmlns:a14="http://schemas.microsoft.com/office/drawing/2010/main">
      <mc:Choice Requires="a14">
        <xdr:graphicFrame macro="">
          <xdr:nvGraphicFramePr>
            <xdr:cNvPr id="10" name="Department (Cleaned) 2">
              <a:extLst>
                <a:ext uri="{FF2B5EF4-FFF2-40B4-BE49-F238E27FC236}">
                  <a16:creationId xmlns:a16="http://schemas.microsoft.com/office/drawing/2014/main" id="{82C764E8-6F3B-4925-98C5-E19D68A28D9F}"/>
                </a:ext>
              </a:extLst>
            </xdr:cNvPr>
            <xdr:cNvGraphicFramePr/>
          </xdr:nvGraphicFramePr>
          <xdr:xfrm>
            <a:off x="0" y="0"/>
            <a:ext cx="0" cy="0"/>
          </xdr:xfrm>
          <a:graphic>
            <a:graphicData uri="http://schemas.microsoft.com/office/drawing/2010/slicer">
              <sle:slicer xmlns:sle="http://schemas.microsoft.com/office/drawing/2010/slicer" name="Department (Cleaned) 2"/>
            </a:graphicData>
          </a:graphic>
        </xdr:graphicFrame>
      </mc:Choice>
      <mc:Fallback xmlns="">
        <xdr:sp macro="" textlink="">
          <xdr:nvSpPr>
            <xdr:cNvPr id="0" name=""/>
            <xdr:cNvSpPr>
              <a:spLocks noTextEdit="1"/>
            </xdr:cNvSpPr>
          </xdr:nvSpPr>
          <xdr:spPr>
            <a:xfrm>
              <a:off x="5454556" y="4894126"/>
              <a:ext cx="2339977" cy="9193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895308</xdr:colOff>
      <xdr:row>22</xdr:row>
      <xdr:rowOff>32404</xdr:rowOff>
    </xdr:from>
    <xdr:to>
      <xdr:col>12</xdr:col>
      <xdr:colOff>471713</xdr:colOff>
      <xdr:row>25</xdr:row>
      <xdr:rowOff>208642</xdr:rowOff>
    </xdr:to>
    <mc:AlternateContent xmlns:mc="http://schemas.openxmlformats.org/markup-compatibility/2006" xmlns:a14="http://schemas.microsoft.com/office/drawing/2010/main">
      <mc:Choice Requires="a14">
        <xdr:graphicFrame macro="">
          <xdr:nvGraphicFramePr>
            <xdr:cNvPr id="11" name="Department (Cleaned) 3">
              <a:extLst>
                <a:ext uri="{FF2B5EF4-FFF2-40B4-BE49-F238E27FC236}">
                  <a16:creationId xmlns:a16="http://schemas.microsoft.com/office/drawing/2014/main" id="{9571FF4C-B0AF-4265-8C6C-73E3B1A6827C}"/>
                </a:ext>
              </a:extLst>
            </xdr:cNvPr>
            <xdr:cNvGraphicFramePr/>
          </xdr:nvGraphicFramePr>
          <xdr:xfrm>
            <a:off x="0" y="0"/>
            <a:ext cx="0" cy="0"/>
          </xdr:xfrm>
          <a:graphic>
            <a:graphicData uri="http://schemas.microsoft.com/office/drawing/2010/slicer">
              <sle:slicer xmlns:sle="http://schemas.microsoft.com/office/drawing/2010/slicer" name="Department (Cleaned) 3"/>
            </a:graphicData>
          </a:graphic>
        </xdr:graphicFrame>
      </mc:Choice>
      <mc:Fallback xmlns="">
        <xdr:sp macro="" textlink="">
          <xdr:nvSpPr>
            <xdr:cNvPr id="0" name=""/>
            <xdr:cNvSpPr>
              <a:spLocks noTextEdit="1"/>
            </xdr:cNvSpPr>
          </xdr:nvSpPr>
          <xdr:spPr>
            <a:xfrm>
              <a:off x="9001083" y="6071254"/>
              <a:ext cx="2633930" cy="9477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895826</xdr:colOff>
      <xdr:row>17</xdr:row>
      <xdr:rowOff>215250</xdr:rowOff>
    </xdr:from>
    <xdr:to>
      <xdr:col>12</xdr:col>
      <xdr:colOff>471714</xdr:colOff>
      <xdr:row>22</xdr:row>
      <xdr:rowOff>27214</xdr:rowOff>
    </xdr:to>
    <mc:AlternateContent xmlns:mc="http://schemas.openxmlformats.org/markup-compatibility/2006" xmlns:a14="http://schemas.microsoft.com/office/drawing/2010/main">
      <mc:Choice Requires="a14">
        <xdr:graphicFrame macro="">
          <xdr:nvGraphicFramePr>
            <xdr:cNvPr id="12" name="City (Cleaned) 2">
              <a:extLst>
                <a:ext uri="{FF2B5EF4-FFF2-40B4-BE49-F238E27FC236}">
                  <a16:creationId xmlns:a16="http://schemas.microsoft.com/office/drawing/2014/main" id="{652A9393-AF95-4657-BA88-45FC2FFFA80C}"/>
                </a:ext>
              </a:extLst>
            </xdr:cNvPr>
            <xdr:cNvGraphicFramePr/>
          </xdr:nvGraphicFramePr>
          <xdr:xfrm>
            <a:off x="0" y="0"/>
            <a:ext cx="0" cy="0"/>
          </xdr:xfrm>
          <a:graphic>
            <a:graphicData uri="http://schemas.microsoft.com/office/drawing/2010/slicer">
              <sle:slicer xmlns:sle="http://schemas.microsoft.com/office/drawing/2010/slicer" name="City (Cleaned) 2"/>
            </a:graphicData>
          </a:graphic>
        </xdr:graphicFrame>
      </mc:Choice>
      <mc:Fallback xmlns="">
        <xdr:sp macro="" textlink="">
          <xdr:nvSpPr>
            <xdr:cNvPr id="0" name=""/>
            <xdr:cNvSpPr>
              <a:spLocks noTextEdit="1"/>
            </xdr:cNvSpPr>
          </xdr:nvSpPr>
          <xdr:spPr>
            <a:xfrm>
              <a:off x="9001601" y="4872975"/>
              <a:ext cx="2633413" cy="11930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677972</xdr:colOff>
      <xdr:row>21</xdr:row>
      <xdr:rowOff>35197</xdr:rowOff>
    </xdr:from>
    <xdr:to>
      <xdr:col>6</xdr:col>
      <xdr:colOff>892871</xdr:colOff>
      <xdr:row>25</xdr:row>
      <xdr:rowOff>168687</xdr:rowOff>
    </xdr:to>
    <mc:AlternateContent xmlns:mc="http://schemas.openxmlformats.org/markup-compatibility/2006" xmlns:a14="http://schemas.microsoft.com/office/drawing/2010/main">
      <mc:Choice Requires="a14">
        <xdr:graphicFrame macro="">
          <xdr:nvGraphicFramePr>
            <xdr:cNvPr id="14" name="City (Cleaned) 3">
              <a:extLst>
                <a:ext uri="{FF2B5EF4-FFF2-40B4-BE49-F238E27FC236}">
                  <a16:creationId xmlns:a16="http://schemas.microsoft.com/office/drawing/2014/main" id="{B302D7BE-BC20-493E-8B7B-21B660E01D08}"/>
                </a:ext>
              </a:extLst>
            </xdr:cNvPr>
            <xdr:cNvGraphicFramePr/>
          </xdr:nvGraphicFramePr>
          <xdr:xfrm>
            <a:off x="0" y="0"/>
            <a:ext cx="0" cy="0"/>
          </xdr:xfrm>
          <a:graphic>
            <a:graphicData uri="http://schemas.microsoft.com/office/drawing/2010/slicer">
              <sle:slicer xmlns:sle="http://schemas.microsoft.com/office/drawing/2010/slicer" name="City (Cleaned) 3"/>
            </a:graphicData>
          </a:graphic>
        </xdr:graphicFrame>
      </mc:Choice>
      <mc:Fallback xmlns="">
        <xdr:sp macro="" textlink="">
          <xdr:nvSpPr>
            <xdr:cNvPr id="0" name=""/>
            <xdr:cNvSpPr>
              <a:spLocks noTextEdit="1"/>
            </xdr:cNvSpPr>
          </xdr:nvSpPr>
          <xdr:spPr>
            <a:xfrm>
              <a:off x="5459522" y="5797822"/>
              <a:ext cx="2338974" cy="11812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1039090</xdr:colOff>
      <xdr:row>18</xdr:row>
      <xdr:rowOff>96982</xdr:rowOff>
    </xdr:from>
    <xdr:to>
      <xdr:col>3</xdr:col>
      <xdr:colOff>526472</xdr:colOff>
      <xdr:row>25</xdr:row>
      <xdr:rowOff>166256</xdr:rowOff>
    </xdr:to>
    <xdr:pic>
      <xdr:nvPicPr>
        <xdr:cNvPr id="16" name="Graphic 15" descr="Business Growth with solid fill">
          <a:extLst>
            <a:ext uri="{FF2B5EF4-FFF2-40B4-BE49-F238E27FC236}">
              <a16:creationId xmlns:a16="http://schemas.microsoft.com/office/drawing/2014/main" id="{6F5614FF-75FA-7797-9A55-34F92498063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995054" y="5029200"/>
          <a:ext cx="1953492" cy="1953492"/>
        </a:xfrm>
        <a:prstGeom prst="rect">
          <a:avLst/>
        </a:prstGeom>
      </xdr:spPr>
    </xdr:pic>
    <xdr:clientData/>
  </xdr:twoCellAnchor>
  <xdr:twoCellAnchor>
    <xdr:from>
      <xdr:col>14</xdr:col>
      <xdr:colOff>617838</xdr:colOff>
      <xdr:row>17</xdr:row>
      <xdr:rowOff>100737</xdr:rowOff>
    </xdr:from>
    <xdr:to>
      <xdr:col>18</xdr:col>
      <xdr:colOff>144162</xdr:colOff>
      <xdr:row>25</xdr:row>
      <xdr:rowOff>196298</xdr:rowOff>
    </xdr:to>
    <mc:AlternateContent xmlns:mc="http://schemas.openxmlformats.org/markup-compatibility/2006">
      <mc:Choice xmlns:am3d="http://schemas.microsoft.com/office/drawing/2017/model3d" Requires="am3d">
        <xdr:graphicFrame macro="">
          <xdr:nvGraphicFramePr>
            <xdr:cNvPr id="17" name="3D Model 16" descr="Printed document">
              <a:extLst>
                <a:ext uri="{FF2B5EF4-FFF2-40B4-BE49-F238E27FC236}">
                  <a16:creationId xmlns:a16="http://schemas.microsoft.com/office/drawing/2014/main" id="{92A070BB-EECC-BB16-C730-237FFCB35ACB}"/>
                </a:ext>
              </a:extLst>
            </xdr:cNvPr>
            <xdr:cNvGraphicFramePr>
              <a:graphicFrameLocks noChangeAspect="1"/>
            </xdr:cNvGraphicFramePr>
          </xdr:nvGraphicFramePr>
          <xdr:xfrm>
            <a:off x="0" y="0"/>
            <a:ext cx="0" cy="0"/>
          </xdr:xfrm>
          <a:graphic>
            <a:graphicData uri="http://schemas.microsoft.com/office/drawing/2017/model3d">
              <am3d:model3d xmlns:r="http://schemas.openxmlformats.org/officeDocument/2006/relationships" r:embed="rId7">
                <am3d:spPr>
                  <a:xfrm>
                    <a:off x="0" y="0"/>
                    <a:ext cx="3214028" cy="2221635"/>
                  </a:xfrm>
                  <a:prstGeom prst="rect">
                    <a:avLst/>
                  </a:prstGeom>
                </am3d:spPr>
                <am3d:camera>
                  <am3d:pos x="0" y="0" z="56475043"/>
                  <am3d:up dx="0" dy="36000000" dz="0"/>
                  <am3d:lookAt x="0" y="0" z="0"/>
                  <am3d:perspective fov="2700000"/>
                </am3d:camera>
                <am3d:trans>
                  <am3d:meterPerModelUnit n="9805309" d="1000000"/>
                  <am3d:preTrans dx="-1048" dy="-18000000" dz="0"/>
                  <am3d:scale>
                    <am3d:sx n="1000000" d="1000000"/>
                    <am3d:sy n="1000000" d="1000000"/>
                    <am3d:sz n="1000000" d="1000000"/>
                  </am3d:scale>
                  <am3d:rot ax="-261021" ay="-1996174" az="143388"/>
                  <am3d:postTrans dx="0" dy="0" dz="0"/>
                </am3d:trans>
                <am3d:raster rName="Office3DRenderer" rVer="16.0.8326">
                  <am3d:blip r:embed="rId8"/>
                </am3d:raster>
                <am3d:objViewport viewportSz="2529500"/>
                <am3d:ambientLight>
                  <am3d:clr>
                    <a:scrgbClr r="50000" g="50000" b="50000"/>
                  </am3d:clr>
                  <am3d:illuminance n="500000" d="1000000"/>
                </am3d:ambientLight>
                <am3d:ptLight rad="0">
                  <am3d:clr>
                    <a:scrgbClr r="100000" g="75000" b="50000"/>
                  </am3d:clr>
                  <am3d:intensity n="9765625" d="1000000"/>
                  <am3d:pos x="21959998" y="70920001" z="16344003"/>
                </am3d:ptLight>
                <am3d:ptLight rad="0">
                  <am3d:clr>
                    <a:scrgbClr r="40000" g="60000" b="95000"/>
                  </am3d:clr>
                  <am3d:intensity n="12250000" d="1000000"/>
                  <am3d:pos x="-37964106" y="51130435" z="57631972"/>
                </am3d:ptLight>
                <am3d:ptLight rad="0">
                  <am3d:clr>
                    <a:scrgbClr r="86837" g="72700" b="100000"/>
                  </am3d:clr>
                  <am3d:intensity n="3125000" d="1000000"/>
                  <am3d:pos x="-37739122" y="58056624" z="-34769649"/>
                </am3d:ptLight>
              </am3d:model3d>
            </a:graphicData>
          </a:graphic>
        </xdr:graphicFrame>
      </mc:Choice>
      <mc:Fallback>
        <xdr:pic>
          <xdr:nvPicPr>
            <xdr:cNvPr id="17" name="3D Model 16" descr="Printed document">
              <a:extLst>
                <a:ext uri="{FF2B5EF4-FFF2-40B4-BE49-F238E27FC236}">
                  <a16:creationId xmlns:a16="http://schemas.microsoft.com/office/drawing/2014/main" id="{92A070BB-EECC-BB16-C730-237FFCB35ACB}"/>
                </a:ext>
              </a:extLst>
            </xdr:cNvPr>
            <xdr:cNvPicPr>
              <a:picLocks noGrp="1" noRot="1" noChangeAspect="1" noMove="1" noResize="1" noEditPoints="1" noAdjustHandles="1" noChangeArrowheads="1" noChangeShapeType="1" noCrop="1"/>
            </xdr:cNvPicPr>
          </xdr:nvPicPr>
          <xdr:blipFill>
            <a:blip xmlns:r="http://schemas.openxmlformats.org/officeDocument/2006/relationships" r:embed="rId8"/>
            <a:stretch>
              <a:fillRect/>
            </a:stretch>
          </xdr:blipFill>
          <xdr:spPr>
            <a:xfrm>
              <a:off x="12885097" y="4710367"/>
              <a:ext cx="3214028" cy="2221635"/>
            </a:xfrm>
            <a:prstGeom prst="rect">
              <a:avLst/>
            </a:prstGeom>
          </xdr:spPr>
        </xdr:pic>
      </mc:Fallback>
    </mc:AlternateContent>
    <xdr:clientData/>
  </xdr:twoCellAnchor>
  <xdr:twoCellAnchor editAs="oneCell">
    <xdr:from>
      <xdr:col>0</xdr:col>
      <xdr:colOff>718457</xdr:colOff>
      <xdr:row>6</xdr:row>
      <xdr:rowOff>54428</xdr:rowOff>
    </xdr:from>
    <xdr:to>
      <xdr:col>0</xdr:col>
      <xdr:colOff>1632857</xdr:colOff>
      <xdr:row>9</xdr:row>
      <xdr:rowOff>108857</xdr:rowOff>
    </xdr:to>
    <xdr:pic>
      <xdr:nvPicPr>
        <xdr:cNvPr id="68" name="Graphic 67" descr="Employee badge with solid fill">
          <a:extLst>
            <a:ext uri="{FF2B5EF4-FFF2-40B4-BE49-F238E27FC236}">
              <a16:creationId xmlns:a16="http://schemas.microsoft.com/office/drawing/2014/main" id="{535706A4-B885-D5E0-A6B0-7143779F6B11}"/>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18457" y="1621971"/>
          <a:ext cx="914400" cy="914400"/>
        </a:xfrm>
        <a:prstGeom prst="rect">
          <a:avLst/>
        </a:prstGeom>
      </xdr:spPr>
    </xdr:pic>
    <xdr:clientData/>
  </xdr:twoCellAnchor>
  <xdr:twoCellAnchor>
    <xdr:from>
      <xdr:col>0</xdr:col>
      <xdr:colOff>206830</xdr:colOff>
      <xdr:row>3</xdr:row>
      <xdr:rowOff>206828</xdr:rowOff>
    </xdr:from>
    <xdr:to>
      <xdr:col>0</xdr:col>
      <xdr:colOff>2133600</xdr:colOff>
      <xdr:row>12</xdr:row>
      <xdr:rowOff>10885</xdr:rowOff>
    </xdr:to>
    <xdr:sp macro="" textlink="">
      <xdr:nvSpPr>
        <xdr:cNvPr id="69" name="Circle: Hollow 68">
          <a:extLst>
            <a:ext uri="{FF2B5EF4-FFF2-40B4-BE49-F238E27FC236}">
              <a16:creationId xmlns:a16="http://schemas.microsoft.com/office/drawing/2014/main" id="{2015D70B-2F11-9BF3-8141-4F0465D751A2}"/>
            </a:ext>
          </a:extLst>
        </xdr:cNvPr>
        <xdr:cNvSpPr/>
      </xdr:nvSpPr>
      <xdr:spPr>
        <a:xfrm>
          <a:off x="206830" y="1142999"/>
          <a:ext cx="1926770" cy="2002972"/>
        </a:xfrm>
        <a:prstGeom prst="donut">
          <a:avLst/>
        </a:prstGeom>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path path="circle">
            <a:fillToRect l="50000" t="130000" r="50000" b="-3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0</xdr:col>
      <xdr:colOff>911413</xdr:colOff>
      <xdr:row>18</xdr:row>
      <xdr:rowOff>14941</xdr:rowOff>
    </xdr:from>
    <xdr:to>
      <xdr:col>1</xdr:col>
      <xdr:colOff>14942</xdr:colOff>
      <xdr:row>20</xdr:row>
      <xdr:rowOff>44824</xdr:rowOff>
    </xdr:to>
    <xdr:sp macro="" textlink="">
      <xdr:nvSpPr>
        <xdr:cNvPr id="70" name="TextBox 69">
          <a:hlinkClick xmlns:r="http://schemas.openxmlformats.org/officeDocument/2006/relationships" r:id="rId11"/>
          <a:extLst>
            <a:ext uri="{FF2B5EF4-FFF2-40B4-BE49-F238E27FC236}">
              <a16:creationId xmlns:a16="http://schemas.microsoft.com/office/drawing/2014/main" id="{A834BA21-A5A6-7DB8-1B61-A6C96F5B228F}"/>
            </a:ext>
          </a:extLst>
        </xdr:cNvPr>
        <xdr:cNvSpPr txBox="1"/>
      </xdr:nvSpPr>
      <xdr:spPr>
        <a:xfrm>
          <a:off x="911413" y="4826000"/>
          <a:ext cx="1419411" cy="567765"/>
        </a:xfrm>
        <a:prstGeom prst="rect">
          <a:avLst/>
        </a:prstGeom>
        <a:noFill/>
        <a:ln>
          <a:noFill/>
        </a:ln>
      </xdr:spPr>
      <xdr:style>
        <a:lnRef idx="0">
          <a:scrgbClr r="0" g="0" b="0"/>
        </a:lnRef>
        <a:fillRef idx="0">
          <a:scrgbClr r="0" g="0" b="0"/>
        </a:fillRef>
        <a:effectRef idx="0">
          <a:scrgbClr r="0" g="0" b="0"/>
        </a:effectRef>
        <a:fontRef idx="minor">
          <a:schemeClr val="accent4"/>
        </a:fontRef>
      </xdr:style>
      <xdr:txBody>
        <a:bodyPr vertOverflow="clip" horzOverflow="clip" wrap="square" rtlCol="0" anchor="t"/>
        <a:lstStyle/>
        <a:p>
          <a:r>
            <a:rPr lang="en-US" sz="3200" b="1">
              <a:solidFill>
                <a:schemeClr val="tx1"/>
              </a:solidFill>
            </a:rPr>
            <a:t>HOME</a:t>
          </a:r>
        </a:p>
      </xdr:txBody>
    </xdr:sp>
    <xdr:clientData/>
  </xdr:twoCellAnchor>
  <xdr:twoCellAnchor editAs="oneCell">
    <xdr:from>
      <xdr:col>0</xdr:col>
      <xdr:colOff>208378</xdr:colOff>
      <xdr:row>17</xdr:row>
      <xdr:rowOff>179266</xdr:rowOff>
    </xdr:from>
    <xdr:to>
      <xdr:col>0</xdr:col>
      <xdr:colOff>868679</xdr:colOff>
      <xdr:row>20</xdr:row>
      <xdr:rowOff>36705</xdr:rowOff>
    </xdr:to>
    <xdr:pic>
      <xdr:nvPicPr>
        <xdr:cNvPr id="72" name="Graphic 71" descr="Home with solid fill">
          <a:extLst>
            <a:ext uri="{FF2B5EF4-FFF2-40B4-BE49-F238E27FC236}">
              <a16:creationId xmlns:a16="http://schemas.microsoft.com/office/drawing/2014/main" id="{591223B0-878B-BAC1-15AC-02D17A9F22D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08378" y="4796986"/>
          <a:ext cx="660301" cy="680399"/>
        </a:xfrm>
        <a:prstGeom prst="rect">
          <a:avLst/>
        </a:prstGeom>
      </xdr:spPr>
    </xdr:pic>
    <xdr:clientData/>
  </xdr:twoCellAnchor>
  <xdr:twoCellAnchor>
    <xdr:from>
      <xdr:col>0</xdr:col>
      <xdr:colOff>815555</xdr:colOff>
      <xdr:row>23</xdr:row>
      <xdr:rowOff>180281</xdr:rowOff>
    </xdr:from>
    <xdr:to>
      <xdr:col>1</xdr:col>
      <xdr:colOff>303550</xdr:colOff>
      <xdr:row>26</xdr:row>
      <xdr:rowOff>236844</xdr:rowOff>
    </xdr:to>
    <xdr:sp macro="" textlink="">
      <xdr:nvSpPr>
        <xdr:cNvPr id="73" name="TextBox 72">
          <a:hlinkClick xmlns:r="http://schemas.openxmlformats.org/officeDocument/2006/relationships" r:id="rId14"/>
          <a:extLst>
            <a:ext uri="{FF2B5EF4-FFF2-40B4-BE49-F238E27FC236}">
              <a16:creationId xmlns:a16="http://schemas.microsoft.com/office/drawing/2014/main" id="{EB8E7F75-3CD6-BA93-401B-2140E73B8768}"/>
            </a:ext>
          </a:extLst>
        </xdr:cNvPr>
        <xdr:cNvSpPr txBox="1"/>
      </xdr:nvSpPr>
      <xdr:spPr>
        <a:xfrm>
          <a:off x="815555" y="6443921"/>
          <a:ext cx="1804475" cy="864283"/>
        </a:xfrm>
        <a:prstGeom prst="rect">
          <a:avLst/>
        </a:prstGeom>
        <a:noFill/>
        <a:ln>
          <a:noFill/>
        </a:ln>
        <a:effectLst>
          <a:glow rad="139700">
            <a:schemeClr val="accent2">
              <a:satMod val="175000"/>
              <a:alpha val="40000"/>
            </a:schemeClr>
          </a:glow>
          <a:outerShdw blurRad="63500" sx="102000" sy="102000" algn="ctr"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t>R</a:t>
          </a:r>
          <a:r>
            <a:rPr lang="en-US" sz="3200" b="1"/>
            <a:t>aw</a:t>
          </a:r>
          <a:r>
            <a:rPr lang="en-US" sz="2800" b="1"/>
            <a:t> Data</a:t>
          </a:r>
        </a:p>
      </xdr:txBody>
    </xdr:sp>
    <xdr:clientData/>
  </xdr:twoCellAnchor>
  <xdr:twoCellAnchor editAs="oneCell">
    <xdr:from>
      <xdr:col>0</xdr:col>
      <xdr:colOff>34178</xdr:colOff>
      <xdr:row>46</xdr:row>
      <xdr:rowOff>50426</xdr:rowOff>
    </xdr:from>
    <xdr:to>
      <xdr:col>0</xdr:col>
      <xdr:colOff>948578</xdr:colOff>
      <xdr:row>50</xdr:row>
      <xdr:rowOff>1337</xdr:rowOff>
    </xdr:to>
    <xdr:pic>
      <xdr:nvPicPr>
        <xdr:cNvPr id="75" name="Graphic 74" descr="Presentation with bar chart with solid fill">
          <a:extLst>
            <a:ext uri="{FF2B5EF4-FFF2-40B4-BE49-F238E27FC236}">
              <a16:creationId xmlns:a16="http://schemas.microsoft.com/office/drawing/2014/main" id="{84113C4C-1B86-84A4-8987-3FDF3AD579D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4178" y="11988426"/>
          <a:ext cx="914400" cy="907146"/>
        </a:xfrm>
        <a:prstGeom prst="rect">
          <a:avLst/>
        </a:prstGeom>
      </xdr:spPr>
    </xdr:pic>
    <xdr:clientData/>
  </xdr:twoCellAnchor>
  <xdr:twoCellAnchor>
    <xdr:from>
      <xdr:col>0</xdr:col>
      <xdr:colOff>0</xdr:colOff>
      <xdr:row>3</xdr:row>
      <xdr:rowOff>83448</xdr:rowOff>
    </xdr:from>
    <xdr:to>
      <xdr:col>0</xdr:col>
      <xdr:colOff>244072</xdr:colOff>
      <xdr:row>4</xdr:row>
      <xdr:rowOff>77631</xdr:rowOff>
    </xdr:to>
    <xdr:pic>
      <xdr:nvPicPr>
        <xdr:cNvPr id="76" name="Graphic 75" descr="Raw Materials with solid fill">
          <a:extLst>
            <a:ext uri="{FF2B5EF4-FFF2-40B4-BE49-F238E27FC236}">
              <a16:creationId xmlns:a16="http://schemas.microsoft.com/office/drawing/2014/main" id="{28E40F45-EAE7-4947-A3E4-C874E13AAF2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0" y="1021294"/>
          <a:ext cx="244072" cy="235972"/>
        </a:xfrm>
        <a:prstGeom prst="rect">
          <a:avLst/>
        </a:prstGeom>
      </xdr:spPr>
    </xdr:pic>
    <xdr:clientData/>
  </xdr:twoCellAnchor>
  <xdr:twoCellAnchor>
    <xdr:from>
      <xdr:col>0</xdr:col>
      <xdr:colOff>162586</xdr:colOff>
      <xdr:row>23</xdr:row>
      <xdr:rowOff>181911</xdr:rowOff>
    </xdr:from>
    <xdr:to>
      <xdr:col>0</xdr:col>
      <xdr:colOff>816214</xdr:colOff>
      <xdr:row>25</xdr:row>
      <xdr:rowOff>298154</xdr:rowOff>
    </xdr:to>
    <xdr:pic>
      <xdr:nvPicPr>
        <xdr:cNvPr id="80" name="Graphic 79" descr="Raw Materials with solid fill">
          <a:extLst>
            <a:ext uri="{FF2B5EF4-FFF2-40B4-BE49-F238E27FC236}">
              <a16:creationId xmlns:a16="http://schemas.microsoft.com/office/drawing/2014/main" id="{5C658310-FB76-4432-AA57-48FB2AA37B3F}"/>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rcRect/>
        <a:stretch/>
      </xdr:blipFill>
      <xdr:spPr>
        <a:xfrm>
          <a:off x="162586" y="6445551"/>
          <a:ext cx="653628" cy="603923"/>
        </a:xfrm>
        <a:prstGeom prst="rect">
          <a:avLst/>
        </a:prstGeom>
      </xdr:spPr>
    </xdr:pic>
    <xdr:clientData/>
  </xdr:twoCellAnchor>
  <xdr:twoCellAnchor>
    <xdr:from>
      <xdr:col>0</xdr:col>
      <xdr:colOff>0</xdr:colOff>
      <xdr:row>3</xdr:row>
      <xdr:rowOff>73943</xdr:rowOff>
    </xdr:from>
    <xdr:to>
      <xdr:col>0</xdr:col>
      <xdr:colOff>243892</xdr:colOff>
      <xdr:row>4</xdr:row>
      <xdr:rowOff>62320</xdr:rowOff>
    </xdr:to>
    <xdr:pic>
      <xdr:nvPicPr>
        <xdr:cNvPr id="81" name="Graphic 80" descr="Database with solid fill">
          <a:extLst>
            <a:ext uri="{FF2B5EF4-FFF2-40B4-BE49-F238E27FC236}">
              <a16:creationId xmlns:a16="http://schemas.microsoft.com/office/drawing/2014/main" id="{15CE357A-64F3-4109-B102-41A1C5DE5D8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rcRect/>
        <a:stretch/>
      </xdr:blipFill>
      <xdr:spPr>
        <a:xfrm>
          <a:off x="0" y="1021294"/>
          <a:ext cx="243892" cy="235512"/>
        </a:xfrm>
        <a:prstGeom prst="rect">
          <a:avLst/>
        </a:prstGeom>
      </xdr:spPr>
    </xdr:pic>
    <xdr:clientData/>
  </xdr:twoCellAnchor>
  <xdr:twoCellAnchor>
    <xdr:from>
      <xdr:col>0</xdr:col>
      <xdr:colOff>76201</xdr:colOff>
      <xdr:row>28</xdr:row>
      <xdr:rowOff>261732</xdr:rowOff>
    </xdr:from>
    <xdr:to>
      <xdr:col>0</xdr:col>
      <xdr:colOff>883920</xdr:colOff>
      <xdr:row>31</xdr:row>
      <xdr:rowOff>250470</xdr:rowOff>
    </xdr:to>
    <xdr:pic>
      <xdr:nvPicPr>
        <xdr:cNvPr id="83" name="Graphic 82" descr="Database with solid fill">
          <a:extLst>
            <a:ext uri="{FF2B5EF4-FFF2-40B4-BE49-F238E27FC236}">
              <a16:creationId xmlns:a16="http://schemas.microsoft.com/office/drawing/2014/main" id="{E6491F1B-034F-4DBA-AD13-EA30B06106AA}"/>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rcRect/>
        <a:stretch/>
      </xdr:blipFill>
      <xdr:spPr>
        <a:xfrm>
          <a:off x="76201" y="7881732"/>
          <a:ext cx="807719" cy="811698"/>
        </a:xfrm>
        <a:prstGeom prst="rect">
          <a:avLst/>
        </a:prstGeom>
      </xdr:spPr>
    </xdr:pic>
    <xdr:clientData/>
  </xdr:twoCellAnchor>
  <xdr:twoCellAnchor>
    <xdr:from>
      <xdr:col>0</xdr:col>
      <xdr:colOff>762000</xdr:colOff>
      <xdr:row>29</xdr:row>
      <xdr:rowOff>137160</xdr:rowOff>
    </xdr:from>
    <xdr:to>
      <xdr:col>1</xdr:col>
      <xdr:colOff>426720</xdr:colOff>
      <xdr:row>32</xdr:row>
      <xdr:rowOff>45720</xdr:rowOff>
    </xdr:to>
    <xdr:sp macro="" textlink="">
      <xdr:nvSpPr>
        <xdr:cNvPr id="84" name="TextBox 83">
          <a:hlinkClick xmlns:r="http://schemas.openxmlformats.org/officeDocument/2006/relationships" r:id="rId25"/>
          <a:extLst>
            <a:ext uri="{FF2B5EF4-FFF2-40B4-BE49-F238E27FC236}">
              <a16:creationId xmlns:a16="http://schemas.microsoft.com/office/drawing/2014/main" id="{3938E94E-4151-13F4-BF26-1B8934F72BEA}"/>
            </a:ext>
          </a:extLst>
        </xdr:cNvPr>
        <xdr:cNvSpPr txBox="1"/>
      </xdr:nvSpPr>
      <xdr:spPr>
        <a:xfrm>
          <a:off x="762000" y="8031480"/>
          <a:ext cx="1981200" cy="73152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t>Clean Data</a:t>
          </a:r>
        </a:p>
      </xdr:txBody>
    </xdr:sp>
    <xdr:clientData/>
  </xdr:twoCellAnchor>
  <xdr:twoCellAnchor editAs="oneCell">
    <xdr:from>
      <xdr:col>0</xdr:col>
      <xdr:colOff>0</xdr:colOff>
      <xdr:row>37</xdr:row>
      <xdr:rowOff>14941</xdr:rowOff>
    </xdr:from>
    <xdr:to>
      <xdr:col>0</xdr:col>
      <xdr:colOff>914400</xdr:colOff>
      <xdr:row>40</xdr:row>
      <xdr:rowOff>212165</xdr:rowOff>
    </xdr:to>
    <xdr:pic>
      <xdr:nvPicPr>
        <xdr:cNvPr id="86" name="Graphic 85" descr="Document with solid fill">
          <a:extLst>
            <a:ext uri="{FF2B5EF4-FFF2-40B4-BE49-F238E27FC236}">
              <a16:creationId xmlns:a16="http://schemas.microsoft.com/office/drawing/2014/main" id="{62756BFF-E810-8A9D-6888-0E2B6187CF5E}"/>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0" y="9801412"/>
          <a:ext cx="914400" cy="914400"/>
        </a:xfrm>
        <a:prstGeom prst="rect">
          <a:avLst/>
        </a:prstGeom>
      </xdr:spPr>
    </xdr:pic>
    <xdr:clientData/>
  </xdr:twoCellAnchor>
  <xdr:twoCellAnchor>
    <xdr:from>
      <xdr:col>0</xdr:col>
      <xdr:colOff>926352</xdr:colOff>
      <xdr:row>37</xdr:row>
      <xdr:rowOff>89646</xdr:rowOff>
    </xdr:from>
    <xdr:to>
      <xdr:col>1</xdr:col>
      <xdr:colOff>134471</xdr:colOff>
      <xdr:row>41</xdr:row>
      <xdr:rowOff>89646</xdr:rowOff>
    </xdr:to>
    <xdr:sp macro="" textlink="">
      <xdr:nvSpPr>
        <xdr:cNvPr id="87" name="TextBox 86">
          <a:extLst>
            <a:ext uri="{FF2B5EF4-FFF2-40B4-BE49-F238E27FC236}">
              <a16:creationId xmlns:a16="http://schemas.microsoft.com/office/drawing/2014/main" id="{98A025EE-85EA-1645-6599-DBE8CEE59BFD}"/>
            </a:ext>
          </a:extLst>
        </xdr:cNvPr>
        <xdr:cNvSpPr txBox="1"/>
      </xdr:nvSpPr>
      <xdr:spPr>
        <a:xfrm>
          <a:off x="926352" y="9876117"/>
          <a:ext cx="1524001" cy="95623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t>Dept-</a:t>
          </a:r>
          <a:r>
            <a:rPr lang="en-US" sz="2400" b="1" baseline="0"/>
            <a:t> Summary</a:t>
          </a:r>
          <a:endParaRPr lang="en-US" sz="2400" b="1"/>
        </a:p>
      </xdr:txBody>
    </xdr:sp>
    <xdr:clientData/>
  </xdr:twoCellAnchor>
  <xdr:twoCellAnchor>
    <xdr:from>
      <xdr:col>0</xdr:col>
      <xdr:colOff>791883</xdr:colOff>
      <xdr:row>47</xdr:row>
      <xdr:rowOff>-1</xdr:rowOff>
    </xdr:from>
    <xdr:to>
      <xdr:col>1</xdr:col>
      <xdr:colOff>433295</xdr:colOff>
      <xdr:row>50</xdr:row>
      <xdr:rowOff>119529</xdr:rowOff>
    </xdr:to>
    <xdr:sp macro="" textlink="">
      <xdr:nvSpPr>
        <xdr:cNvPr id="88" name="TextBox 87">
          <a:extLst>
            <a:ext uri="{FF2B5EF4-FFF2-40B4-BE49-F238E27FC236}">
              <a16:creationId xmlns:a16="http://schemas.microsoft.com/office/drawing/2014/main" id="{7C99E682-BA9D-0090-602F-426A29D6D8C5}"/>
            </a:ext>
          </a:extLst>
        </xdr:cNvPr>
        <xdr:cNvSpPr txBox="1"/>
      </xdr:nvSpPr>
      <xdr:spPr>
        <a:xfrm>
          <a:off x="791883" y="12177058"/>
          <a:ext cx="1957294" cy="83670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t>Dashboord</a:t>
          </a:r>
        </a:p>
      </xdr:txBody>
    </xdr:sp>
    <xdr:clientData/>
  </xdr:twoCellAnchor>
  <xdr:twoCellAnchor editAs="oneCell">
    <xdr:from>
      <xdr:col>17</xdr:col>
      <xdr:colOff>271398</xdr:colOff>
      <xdr:row>4</xdr:row>
      <xdr:rowOff>156576</xdr:rowOff>
    </xdr:from>
    <xdr:to>
      <xdr:col>18</xdr:col>
      <xdr:colOff>1106466</xdr:colOff>
      <xdr:row>14</xdr:row>
      <xdr:rowOff>73069</xdr:rowOff>
    </xdr:to>
    <xdr:pic>
      <xdr:nvPicPr>
        <xdr:cNvPr id="90" name="Graphic 89" descr="Group of people with solid fill">
          <a:extLst>
            <a:ext uri="{FF2B5EF4-FFF2-40B4-BE49-F238E27FC236}">
              <a16:creationId xmlns:a16="http://schemas.microsoft.com/office/drawing/2014/main" id="{83E47FA1-F53F-0E44-E3BA-83FD5333295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4603261" y="1336110"/>
          <a:ext cx="2463452" cy="24634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251460</xdr:colOff>
      <xdr:row>2</xdr:row>
      <xdr:rowOff>22860</xdr:rowOff>
    </xdr:from>
    <xdr:to>
      <xdr:col>7</xdr:col>
      <xdr:colOff>556260</xdr:colOff>
      <xdr:row>17</xdr:row>
      <xdr:rowOff>22860</xdr:rowOff>
    </xdr:to>
    <xdr:graphicFrame macro="">
      <xdr:nvGraphicFramePr>
        <xdr:cNvPr id="2" name="Chart 1">
          <a:extLst>
            <a:ext uri="{FF2B5EF4-FFF2-40B4-BE49-F238E27FC236}">
              <a16:creationId xmlns:a16="http://schemas.microsoft.com/office/drawing/2014/main" id="{89436688-B535-D657-3A74-7237782E40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243840</xdr:colOff>
      <xdr:row>17</xdr:row>
      <xdr:rowOff>91441</xdr:rowOff>
    </xdr:from>
    <xdr:to>
      <xdr:col>7</xdr:col>
      <xdr:colOff>556260</xdr:colOff>
      <xdr:row>22</xdr:row>
      <xdr:rowOff>160021</xdr:rowOff>
    </xdr:to>
    <mc:AlternateContent xmlns:mc="http://schemas.openxmlformats.org/markup-compatibility/2006" xmlns:a14="http://schemas.microsoft.com/office/drawing/2010/main">
      <mc:Choice Requires="a14">
        <xdr:graphicFrame macro="">
          <xdr:nvGraphicFramePr>
            <xdr:cNvPr id="3" name="Department (Cleaned) 1">
              <a:extLst>
                <a:ext uri="{FF2B5EF4-FFF2-40B4-BE49-F238E27FC236}">
                  <a16:creationId xmlns:a16="http://schemas.microsoft.com/office/drawing/2014/main" id="{7B1121F9-4782-6C27-C4DF-6B8A1F0FF011}"/>
                </a:ext>
              </a:extLst>
            </xdr:cNvPr>
            <xdr:cNvGraphicFramePr/>
          </xdr:nvGraphicFramePr>
          <xdr:xfrm>
            <a:off x="0" y="0"/>
            <a:ext cx="0" cy="0"/>
          </xdr:xfrm>
          <a:graphic>
            <a:graphicData uri="http://schemas.microsoft.com/office/drawing/2010/slicer">
              <sle:slicer xmlns:sle="http://schemas.microsoft.com/office/drawing/2010/slicer" name="Department (Cleaned) 1"/>
            </a:graphicData>
          </a:graphic>
        </xdr:graphicFrame>
      </mc:Choice>
      <mc:Fallback xmlns="">
        <xdr:sp macro="" textlink="">
          <xdr:nvSpPr>
            <xdr:cNvPr id="0" name=""/>
            <xdr:cNvSpPr>
              <a:spLocks noTextEdit="1"/>
            </xdr:cNvSpPr>
          </xdr:nvSpPr>
          <xdr:spPr>
            <a:xfrm>
              <a:off x="243840" y="3200401"/>
              <a:ext cx="4579620" cy="9829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297180</xdr:colOff>
      <xdr:row>1</xdr:row>
      <xdr:rowOff>57150</xdr:rowOff>
    </xdr:from>
    <xdr:to>
      <xdr:col>7</xdr:col>
      <xdr:colOff>601980</xdr:colOff>
      <xdr:row>16</xdr:row>
      <xdr:rowOff>57150</xdr:rowOff>
    </xdr:to>
    <xdr:graphicFrame macro="">
      <xdr:nvGraphicFramePr>
        <xdr:cNvPr id="2" name="Chart 1">
          <a:extLst>
            <a:ext uri="{FF2B5EF4-FFF2-40B4-BE49-F238E27FC236}">
              <a16:creationId xmlns:a16="http://schemas.microsoft.com/office/drawing/2014/main" id="{9359DDC2-9580-90BF-C226-F5DC099109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365760</xdr:colOff>
      <xdr:row>16</xdr:row>
      <xdr:rowOff>144780</xdr:rowOff>
    </xdr:from>
    <xdr:to>
      <xdr:col>7</xdr:col>
      <xdr:colOff>601980</xdr:colOff>
      <xdr:row>21</xdr:row>
      <xdr:rowOff>182879</xdr:rowOff>
    </xdr:to>
    <mc:AlternateContent xmlns:mc="http://schemas.openxmlformats.org/markup-compatibility/2006" xmlns:a14="http://schemas.microsoft.com/office/drawing/2010/main">
      <mc:Choice Requires="a14">
        <xdr:graphicFrame macro="">
          <xdr:nvGraphicFramePr>
            <xdr:cNvPr id="8" name="City (Cleaned) 1">
              <a:extLst>
                <a:ext uri="{FF2B5EF4-FFF2-40B4-BE49-F238E27FC236}">
                  <a16:creationId xmlns:a16="http://schemas.microsoft.com/office/drawing/2014/main" id="{8806FE64-9859-40B4-E8CF-275A9258C40B}"/>
                </a:ext>
              </a:extLst>
            </xdr:cNvPr>
            <xdr:cNvGraphicFramePr/>
          </xdr:nvGraphicFramePr>
          <xdr:xfrm>
            <a:off x="0" y="0"/>
            <a:ext cx="0" cy="0"/>
          </xdr:xfrm>
          <a:graphic>
            <a:graphicData uri="http://schemas.microsoft.com/office/drawing/2010/slicer">
              <sle:slicer xmlns:sle="http://schemas.microsoft.com/office/drawing/2010/slicer" name="City (Cleaned) 1"/>
            </a:graphicData>
          </a:graphic>
        </xdr:graphicFrame>
      </mc:Choice>
      <mc:Fallback xmlns="">
        <xdr:sp macro="" textlink="">
          <xdr:nvSpPr>
            <xdr:cNvPr id="0" name=""/>
            <xdr:cNvSpPr>
              <a:spLocks noTextEdit="1"/>
            </xdr:cNvSpPr>
          </xdr:nvSpPr>
          <xdr:spPr>
            <a:xfrm>
              <a:off x="365760" y="3070860"/>
              <a:ext cx="4503420" cy="952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304800</xdr:colOff>
      <xdr:row>2</xdr:row>
      <xdr:rowOff>175260</xdr:rowOff>
    </xdr:from>
    <xdr:to>
      <xdr:col>8</xdr:col>
      <xdr:colOff>0</xdr:colOff>
      <xdr:row>20</xdr:row>
      <xdr:rowOff>7620</xdr:rowOff>
    </xdr:to>
    <xdr:graphicFrame macro="">
      <xdr:nvGraphicFramePr>
        <xdr:cNvPr id="2" name="Chart 1">
          <a:extLst>
            <a:ext uri="{FF2B5EF4-FFF2-40B4-BE49-F238E27FC236}">
              <a16:creationId xmlns:a16="http://schemas.microsoft.com/office/drawing/2014/main" id="{35DD541C-F5E6-001F-66EC-1A6223A4C7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281940</xdr:colOff>
      <xdr:row>20</xdr:row>
      <xdr:rowOff>106681</xdr:rowOff>
    </xdr:from>
    <xdr:to>
      <xdr:col>8</xdr:col>
      <xdr:colOff>15240</xdr:colOff>
      <xdr:row>26</xdr:row>
      <xdr:rowOff>175261</xdr:rowOff>
    </xdr:to>
    <mc:AlternateContent xmlns:mc="http://schemas.openxmlformats.org/markup-compatibility/2006" xmlns:a14="http://schemas.microsoft.com/office/drawing/2010/main">
      <mc:Choice Requires="a14">
        <xdr:graphicFrame macro="">
          <xdr:nvGraphicFramePr>
            <xdr:cNvPr id="3" name="City (Cleaned)">
              <a:extLst>
                <a:ext uri="{FF2B5EF4-FFF2-40B4-BE49-F238E27FC236}">
                  <a16:creationId xmlns:a16="http://schemas.microsoft.com/office/drawing/2014/main" id="{EF2B0EA9-5D9E-0DC3-A7DC-532E9E550CAB}"/>
                </a:ext>
              </a:extLst>
            </xdr:cNvPr>
            <xdr:cNvGraphicFramePr/>
          </xdr:nvGraphicFramePr>
          <xdr:xfrm>
            <a:off x="0" y="0"/>
            <a:ext cx="0" cy="0"/>
          </xdr:xfrm>
          <a:graphic>
            <a:graphicData uri="http://schemas.microsoft.com/office/drawing/2010/slicer">
              <sle:slicer xmlns:sle="http://schemas.microsoft.com/office/drawing/2010/slicer" name="City (Cleaned)"/>
            </a:graphicData>
          </a:graphic>
        </xdr:graphicFrame>
      </mc:Choice>
      <mc:Fallback xmlns="">
        <xdr:sp macro="" textlink="">
          <xdr:nvSpPr>
            <xdr:cNvPr id="0" name=""/>
            <xdr:cNvSpPr>
              <a:spLocks noTextEdit="1"/>
            </xdr:cNvSpPr>
          </xdr:nvSpPr>
          <xdr:spPr>
            <a:xfrm>
              <a:off x="281940" y="3764281"/>
              <a:ext cx="4610100" cy="11658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487680</xdr:colOff>
          <xdr:row>1</xdr:row>
          <xdr:rowOff>312420</xdr:rowOff>
        </xdr:from>
        <xdr:to>
          <xdr:col>4</xdr:col>
          <xdr:colOff>449580</xdr:colOff>
          <xdr:row>3</xdr:row>
          <xdr:rowOff>45720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6</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297180</xdr:colOff>
      <xdr:row>2</xdr:row>
      <xdr:rowOff>49530</xdr:rowOff>
    </xdr:from>
    <xdr:to>
      <xdr:col>7</xdr:col>
      <xdr:colOff>601980</xdr:colOff>
      <xdr:row>17</xdr:row>
      <xdr:rowOff>49530</xdr:rowOff>
    </xdr:to>
    <xdr:graphicFrame macro="">
      <xdr:nvGraphicFramePr>
        <xdr:cNvPr id="2" name="Chart 1">
          <a:extLst>
            <a:ext uri="{FF2B5EF4-FFF2-40B4-BE49-F238E27FC236}">
              <a16:creationId xmlns:a16="http://schemas.microsoft.com/office/drawing/2014/main" id="{9C47B740-50EB-34A0-F931-F77837C743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312420</xdr:colOff>
      <xdr:row>17</xdr:row>
      <xdr:rowOff>114301</xdr:rowOff>
    </xdr:from>
    <xdr:to>
      <xdr:col>8</xdr:col>
      <xdr:colOff>15240</xdr:colOff>
      <xdr:row>22</xdr:row>
      <xdr:rowOff>121921</xdr:rowOff>
    </xdr:to>
    <mc:AlternateContent xmlns:mc="http://schemas.openxmlformats.org/markup-compatibility/2006" xmlns:a14="http://schemas.microsoft.com/office/drawing/2010/main">
      <mc:Choice Requires="a14">
        <xdr:graphicFrame macro="">
          <xdr:nvGraphicFramePr>
            <xdr:cNvPr id="4" name="Department (Cleaned)">
              <a:extLst>
                <a:ext uri="{FF2B5EF4-FFF2-40B4-BE49-F238E27FC236}">
                  <a16:creationId xmlns:a16="http://schemas.microsoft.com/office/drawing/2014/main" id="{F87E8228-7011-2CCC-4980-C626E182E363}"/>
                </a:ext>
              </a:extLst>
            </xdr:cNvPr>
            <xdr:cNvGraphicFramePr/>
          </xdr:nvGraphicFramePr>
          <xdr:xfrm>
            <a:off x="0" y="0"/>
            <a:ext cx="0" cy="0"/>
          </xdr:xfrm>
          <a:graphic>
            <a:graphicData uri="http://schemas.microsoft.com/office/drawing/2010/slicer">
              <sle:slicer xmlns:sle="http://schemas.microsoft.com/office/drawing/2010/slicer" name="Department (Cleaned)"/>
            </a:graphicData>
          </a:graphic>
        </xdr:graphicFrame>
      </mc:Choice>
      <mc:Fallback xmlns="">
        <xdr:sp macro="" textlink="">
          <xdr:nvSpPr>
            <xdr:cNvPr id="0" name=""/>
            <xdr:cNvSpPr>
              <a:spLocks noTextEdit="1"/>
            </xdr:cNvSpPr>
          </xdr:nvSpPr>
          <xdr:spPr>
            <a:xfrm>
              <a:off x="312420" y="3223261"/>
              <a:ext cx="4579620" cy="9220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nik jana" refreshedDate="46171.074402430553" backgroundQuery="1" createdVersion="3" refreshedVersion="8" minRefreshableVersion="3" recordCount="0" supportSubquery="1" supportAdvancedDrill="1" xr:uid="{8ED975CC-E816-46A0-BB08-9094AA4CD8BE}">
  <cacheSource type="external" connectionId="1">
    <extLst>
      <ext xmlns:x14="http://schemas.microsoft.com/office/spreadsheetml/2009/9/main" uri="{F057638F-6D5F-4e77-A914-E7F072B9BCA8}">
        <x14:sourceConnection name="ThisWorkbookDataModel"/>
      </ext>
    </extLst>
  </cacheSource>
  <cacheFields count="0"/>
  <cacheHierarchies count="21">
    <cacheHierarchy uniqueName="[Range].[Employee ID]" caption="Employee ID" attribute="1" defaultMemberUniqueName="[Range].[Employee ID].[All]" allUniqueName="[Range].[Employee ID].[All]" dimensionUniqueName="[Range]" displayFolder="" count="0" memberValueDatatype="130" unbalanced="0"/>
    <cacheHierarchy uniqueName="[Range].[Employee Name (Cleaned)]" caption="Employee Name (Cleaned)" attribute="1" defaultMemberUniqueName="[Range].[Employee Name (Cleaned)].[All]" allUniqueName="[Range].[Employee Name (Cleaned)].[All]" dimensionUniqueName="[Range]" displayFolder="" count="0" memberValueDatatype="130" unbalanced="0"/>
    <cacheHierarchy uniqueName="[Range].[Age]" caption="Age" attribute="1" defaultMemberUniqueName="[Range].[Age].[All]" allUniqueName="[Range].[Age].[All]" dimensionUniqueName="[Range]" displayFolder="" count="0" memberValueDatatype="20" unbalanced="0"/>
    <cacheHierarchy uniqueName="[Range].[Gender (Cleaned)]" caption="Gender (Cleaned)" attribute="1" defaultMemberUniqueName="[Range].[Gender (Cleaned)].[All]" allUniqueName="[Range].[Gender (Cleaned)].[All]" dimensionUniqueName="[Range]" displayFolder="" count="0" memberValueDatatype="130" unbalanced="0"/>
    <cacheHierarchy uniqueName="[Range].[Department (Cleaned)]" caption="Department (Cleaned)" attribute="1" defaultMemberUniqueName="[Range].[Department (Cleaned)].[All]" allUniqueName="[Range].[Department (Cleaned)].[All]" dimensionUniqueName="[Range]" displayFolder="" count="2" memberValueDatatype="130" unbalanced="0"/>
    <cacheHierarchy uniqueName="[Range].[Designation]" caption="Designation" attribute="1" defaultMemberUniqueName="[Range].[Designation].[All]" allUniqueName="[Range].[Designation].[All]" dimensionUniqueName="[Range]" displayFolder="" count="2" memberValueDatatype="130" unbalanced="0"/>
    <cacheHierarchy uniqueName="[Range].[Date of Joining (Cleaned)]" caption="Date of Joining (Cleaned)" attribute="1" defaultMemberUniqueName="[Range].[Date of Joining (Cleaned)].[All]" allUniqueName="[Range].[Date of Joining (Cleaned)].[All]" dimensionUniqueName="[Range]" displayFolder="" count="0" memberValueDatatype="130" unbalanced="0"/>
    <cacheHierarchy uniqueName="[Range].[City (Cleaned)]" caption="City (Cleaned)" attribute="1" defaultMemberUniqueName="[Range].[City (Cleaned)].[All]" allUniqueName="[Range].[City (Cleaned)].[All]" dimensionUniqueName="[Range]" displayFolder="" count="2" memberValueDatatype="130" unbalanced="0"/>
    <cacheHierarchy uniqueName="[Range].[Basic Salary (₹)]" caption="Basic Salary (₹)" attribute="1" defaultMemberUniqueName="[Range].[Basic Salary (₹)].[All]" allUniqueName="[Range].[Basic Salary (₹)].[All]" dimensionUniqueName="[Range]" displayFolder="" count="0" memberValueDatatype="20" unbalanced="0"/>
    <cacheHierarchy uniqueName="[Range].[HRA (₹)]" caption="HRA (₹)" attribute="1" defaultMemberUniqueName="[Range].[HRA (₹)].[All]" allUniqueName="[Range].[HRA (₹)].[All]" dimensionUniqueName="[Range]" displayFolder="" count="0" memberValueDatatype="20" unbalanced="0"/>
    <cacheHierarchy uniqueName="[Range].[Allowances (₹)]" caption="Allowances (₹)" attribute="1" defaultMemberUniqueName="[Range].[Allowances (₹)].[All]" allUniqueName="[Range].[Allowances (₹)].[All]" dimensionUniqueName="[Range]" displayFolder="" count="0" memberValueDatatype="20" unbalanced="0"/>
    <cacheHierarchy uniqueName="[Range].[Overtime (₹)]" caption="Overtime (₹)" attribute="1" defaultMemberUniqueName="[Range].[Overtime (₹)].[All]" allUniqueName="[Range].[Overtime (₹)].[All]" dimensionUniqueName="[Range]" displayFolder="" count="0" memberValueDatatype="20" unbalanced="0"/>
    <cacheHierarchy uniqueName="[Range].[Deductions (₹)]" caption="Deductions (₹)" attribute="1" defaultMemberUniqueName="[Range].[Deductions (₹)].[All]" allUniqueName="[Range].[Deductions (₹)].[All]" dimensionUniqueName="[Range]" displayFolder="" count="2" memberValueDatatype="20" unbalanced="0"/>
    <cacheHierarchy uniqueName="[Range].[Net Salary (₹)]" caption="Net Salary (₹)" attribute="1" defaultMemberUniqueName="[Range].[Net Salary (₹)].[All]" allUniqueName="[Range].[Net Salary (₹)].[All]" dimensionUniqueName="[Range]" displayFolder="" count="0" memberValueDatatype="20" unbalanced="0"/>
    <cacheHierarchy uniqueName="[Range].[Attendance Days (Cleaned)]" caption="Attendance Days (Cleaned)" attribute="1" defaultMemberUniqueName="[Range].[Attendance Days (Cleaned)].[All]" allUniqueName="[Range].[Attendance Days (Cleaned)].[All]" dimensionUniqueName="[Range]" displayFolder="" count="2" memberValueDatatype="20" unbalanced="0"/>
    <cacheHierarchy uniqueName="[Range].[Performance Score (%)]" caption="Performance Score (%)" attribute="1" defaultMemberUniqueName="[Range].[Performance Score (%)].[All]" allUniqueName="[Range].[Performance Score (%)].[All]" dimensionUniqueName="[Range]" displayFolder="" count="0" memberValueDatatype="20" unbalanced="0"/>
    <cacheHierarchy uniqueName="[Range].[Performance Rating]" caption="Performance Rating" attribute="1" defaultMemberUniqueName="[Range].[Performance Rating].[All]" allUniqueName="[Range].[Performance Rating].[All]" dimensionUniqueName="[Range]" displayFolder="" count="2" memberValueDatatype="130" unbalanced="0"/>
    <cacheHierarchy uniqueName="[Range].[Employment Status]" caption="Employment Status" attribute="1" defaultMemberUniqueName="[Range].[Employment Status].[All]" allUniqueName="[Range].[Employment Status].[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Net Salary (₹)]" caption="Sum of Net Salary (₹)" measure="1" displayFolder="" measureGroup="Range" count="0" hidden="1">
      <extLst>
        <ext xmlns:x15="http://schemas.microsoft.com/office/spreadsheetml/2010/11/main" uri="{B97F6D7D-B522-45F9-BDA1-12C45D357490}">
          <x15:cacheHierarchy aggregatedColumn="13"/>
        </ext>
      </extLst>
    </cacheHierarchy>
  </cacheHierarchies>
  <kpis count="0"/>
  <extLst>
    <ext xmlns:x14="http://schemas.microsoft.com/office/spreadsheetml/2009/9/main" uri="{725AE2AE-9491-48be-B2B4-4EB974FC3084}">
      <x14:pivotCacheDefinition slicerData="1" pivotCacheId="893117714"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nik jana" refreshedDate="46171.180522222225" backgroundQuery="1" createdVersion="8" refreshedVersion="8" minRefreshableVersion="3" recordCount="0" supportSubquery="1" supportAdvancedDrill="1" xr:uid="{CC8F04E3-026E-4A6E-B2BB-F47E4F15D5C7}">
  <cacheSource type="external" connectionId="1">
    <extLst>
      <ext xmlns:x14="http://schemas.microsoft.com/office/spreadsheetml/2009/9/main" uri="{F057638F-6D5F-4e77-A914-E7F072B9BCA8}">
        <x14:sourceConnection name="ThisWorkbookDataModel"/>
      </ext>
    </extLst>
  </cacheSource>
  <cacheFields count="4">
    <cacheField name="[Range].[Gender (Cleaned)].[Gender (Cleaned)]" caption="Gender (Cleaned)" numFmtId="0" hierarchy="3" level="1">
      <sharedItems count="2">
        <s v="Female"/>
        <s v="Male"/>
      </sharedItems>
    </cacheField>
    <cacheField name="[Measures].[Sum of Performance Score (%)]" caption="Sum of Performance Score (%)" numFmtId="0" hierarchy="21" level="32767"/>
    <cacheField name="[Range].[City (Cleaned)].[City (Cleaned)]" caption="City (Cleaned)" numFmtId="0" hierarchy="7" level="1">
      <sharedItems containsSemiMixedTypes="0" containsNonDate="0" containsString="0"/>
    </cacheField>
    <cacheField name="[Range].[Department (Cleaned)].[Department (Cleaned)]" caption="Department (Cleaned)" numFmtId="0" hierarchy="4" level="1">
      <sharedItems containsSemiMixedTypes="0" containsNonDate="0" containsString="0"/>
    </cacheField>
  </cacheFields>
  <cacheHierarchies count="28">
    <cacheHierarchy uniqueName="[Range].[Employee ID]" caption="Employee ID" attribute="1" defaultMemberUniqueName="[Range].[Employee ID].[All]" allUniqueName="[Range].[Employee ID].[All]" dimensionUniqueName="[Range]" displayFolder="" count="0" memberValueDatatype="130" unbalanced="0"/>
    <cacheHierarchy uniqueName="[Range].[Employee Name (Cleaned)]" caption="Employee Name (Cleaned)" attribute="1" defaultMemberUniqueName="[Range].[Employee Name (Cleaned)].[All]" allUniqueName="[Range].[Employee Name (Cleaned)].[All]" dimensionUniqueName="[Range]" displayFolder="" count="0" memberValueDatatype="130" unbalanced="0"/>
    <cacheHierarchy uniqueName="[Range].[Age]" caption="Age" attribute="1" defaultMemberUniqueName="[Range].[Age].[All]" allUniqueName="[Range].[Age].[All]" dimensionUniqueName="[Range]" displayFolder="" count="0" memberValueDatatype="20" unbalanced="0"/>
    <cacheHierarchy uniqueName="[Range].[Gender (Cleaned)]" caption="Gender (Cleaned)" attribute="1" defaultMemberUniqueName="[Range].[Gender (Cleaned)].[All]" allUniqueName="[Range].[Gender (Cleaned)].[All]" dimensionUniqueName="[Range]" displayFolder="" count="2" memberValueDatatype="130" unbalanced="0">
      <fieldsUsage count="2">
        <fieldUsage x="-1"/>
        <fieldUsage x="0"/>
      </fieldsUsage>
    </cacheHierarchy>
    <cacheHierarchy uniqueName="[Range].[Department (Cleaned)]" caption="Department (Cleaned)" attribute="1" defaultMemberUniqueName="[Range].[Department (Cleaned)].[All]" allUniqueName="[Range].[Department (Cleaned)].[All]" dimensionUniqueName="[Range]" displayFolder="" count="2" memberValueDatatype="130" unbalanced="0">
      <fieldsUsage count="2">
        <fieldUsage x="-1"/>
        <fieldUsage x="3"/>
      </fieldsUsage>
    </cacheHierarchy>
    <cacheHierarchy uniqueName="[Range].[Designation]" caption="Designation" attribute="1" defaultMemberUniqueName="[Range].[Designation].[All]" allUniqueName="[Range].[Designation].[All]" dimensionUniqueName="[Range]" displayFolder="" count="0" memberValueDatatype="130" unbalanced="0"/>
    <cacheHierarchy uniqueName="[Range].[Date of Joining (Cleaned)]" caption="Date of Joining (Cleaned)" attribute="1" defaultMemberUniqueName="[Range].[Date of Joining (Cleaned)].[All]" allUniqueName="[Range].[Date of Joining (Cleaned)].[All]" dimensionUniqueName="[Range]" displayFolder="" count="0" memberValueDatatype="130" unbalanced="0"/>
    <cacheHierarchy uniqueName="[Range].[City (Cleaned)]" caption="City (Cleaned)" attribute="1" defaultMemberUniqueName="[Range].[City (Cleaned)].[All]" allUniqueName="[Range].[City (Cleaned)].[All]" dimensionUniqueName="[Range]" displayFolder="" count="2" memberValueDatatype="130" unbalanced="0">
      <fieldsUsage count="2">
        <fieldUsage x="-1"/>
        <fieldUsage x="2"/>
      </fieldsUsage>
    </cacheHierarchy>
    <cacheHierarchy uniqueName="[Range].[Basic Salary (₹)]" caption="Basic Salary (₹)" attribute="1" defaultMemberUniqueName="[Range].[Basic Salary (₹)].[All]" allUniqueName="[Range].[Basic Salary (₹)].[All]" dimensionUniqueName="[Range]" displayFolder="" count="0" memberValueDatatype="20" unbalanced="0"/>
    <cacheHierarchy uniqueName="[Range].[HRA (₹)]" caption="HRA (₹)" attribute="1" defaultMemberUniqueName="[Range].[HRA (₹)].[All]" allUniqueName="[Range].[HRA (₹)].[All]" dimensionUniqueName="[Range]" displayFolder="" count="0" memberValueDatatype="20" unbalanced="0"/>
    <cacheHierarchy uniqueName="[Range].[Allowances (₹)]" caption="Allowances (₹)" attribute="1" defaultMemberUniqueName="[Range].[Allowances (₹)].[All]" allUniqueName="[Range].[Allowances (₹)].[All]" dimensionUniqueName="[Range]" displayFolder="" count="0" memberValueDatatype="20" unbalanced="0"/>
    <cacheHierarchy uniqueName="[Range].[Overtime (₹)]" caption="Overtime (₹)" attribute="1" defaultMemberUniqueName="[Range].[Overtime (₹)].[All]" allUniqueName="[Range].[Overtime (₹)].[All]" dimensionUniqueName="[Range]" displayFolder="" count="0" memberValueDatatype="20" unbalanced="0"/>
    <cacheHierarchy uniqueName="[Range].[Deductions (₹)]" caption="Deductions (₹)" attribute="1" defaultMemberUniqueName="[Range].[Deductions (₹)].[All]" allUniqueName="[Range].[Deductions (₹)].[All]" dimensionUniqueName="[Range]" displayFolder="" count="0" memberValueDatatype="20" unbalanced="0"/>
    <cacheHierarchy uniqueName="[Range].[Net Salary (₹)]" caption="Net Salary (₹)" attribute="1" defaultMemberUniqueName="[Range].[Net Salary (₹)].[All]" allUniqueName="[Range].[Net Salary (₹)].[All]" dimensionUniqueName="[Range]" displayFolder="" count="0" memberValueDatatype="20" unbalanced="0"/>
    <cacheHierarchy uniqueName="[Range].[Attendance Days (Cleaned)]" caption="Attendance Days (Cleaned)" attribute="1" defaultMemberUniqueName="[Range].[Attendance Days (Cleaned)].[All]" allUniqueName="[Range].[Attendance Days (Cleaned)].[All]" dimensionUniqueName="[Range]" displayFolder="" count="0" memberValueDatatype="20" unbalanced="0"/>
    <cacheHierarchy uniqueName="[Range].[Performance Score (%)]" caption="Performance Score (%)" attribute="1" defaultMemberUniqueName="[Range].[Performance Score (%)].[All]" allUniqueName="[Range].[Performance Score (%)].[All]" dimensionUniqueName="[Range]" displayFolder="" count="0" memberValueDatatype="20" unbalanced="0"/>
    <cacheHierarchy uniqueName="[Range].[Performance Rating]" caption="Performance Rating" attribute="1" defaultMemberUniqueName="[Range].[Performance Rating].[All]" allUniqueName="[Range].[Performance Rating].[All]" dimensionUniqueName="[Range]" displayFolder="" count="0" memberValueDatatype="130" unbalanced="0"/>
    <cacheHierarchy uniqueName="[Range].[Employment Status]" caption="Employment Status" attribute="1" defaultMemberUniqueName="[Range].[Employment Status].[All]" allUniqueName="[Range].[Employment Status].[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Net Salary (₹)]" caption="Sum of Net Salary (₹)" measure="1" displayFolder="" measureGroup="Range" count="0" hidden="1">
      <extLst>
        <ext xmlns:x15="http://schemas.microsoft.com/office/spreadsheetml/2010/11/main" uri="{B97F6D7D-B522-45F9-BDA1-12C45D357490}">
          <x15:cacheHierarchy aggregatedColumn="13"/>
        </ext>
      </extLst>
    </cacheHierarchy>
    <cacheHierarchy uniqueName="[Measures].[Sum of Performance Score (%)]" caption="Sum of Performance Score (%)" measure="1" displayFolder="" measureGroup="Range" count="0" oneField="1" hidden="1">
      <fieldsUsage count="1">
        <fieldUsage x="1"/>
      </fieldsUsage>
      <extLst>
        <ext xmlns:x15="http://schemas.microsoft.com/office/spreadsheetml/2010/11/main" uri="{B97F6D7D-B522-45F9-BDA1-12C45D357490}">
          <x15:cacheHierarchy aggregatedColumn="15"/>
        </ext>
      </extLst>
    </cacheHierarchy>
    <cacheHierarchy uniqueName="[Measures].[Sum of Overtime (₹)]" caption="Sum of Overtime (₹)" measure="1" displayFolder="" measureGroup="Range" count="0" hidden="1">
      <extLst>
        <ext xmlns:x15="http://schemas.microsoft.com/office/spreadsheetml/2010/11/main" uri="{B97F6D7D-B522-45F9-BDA1-12C45D357490}">
          <x15:cacheHierarchy aggregatedColumn="11"/>
        </ext>
      </extLst>
    </cacheHierarchy>
    <cacheHierarchy uniqueName="[Measures].[Sum of Allowances (₹)]" caption="Sum of Allowances (₹)" measure="1" displayFolder="" measureGroup="Range" count="0" hidden="1">
      <extLst>
        <ext xmlns:x15="http://schemas.microsoft.com/office/spreadsheetml/2010/11/main" uri="{B97F6D7D-B522-45F9-BDA1-12C45D357490}">
          <x15:cacheHierarchy aggregatedColumn="10"/>
        </ext>
      </extLst>
    </cacheHierarchy>
    <cacheHierarchy uniqueName="[Measures].[Count of Performance Rating]" caption="Count of Performance Rating" measure="1" displayFolder="" measureGroup="Range" count="0" hidden="1">
      <extLst>
        <ext xmlns:x15="http://schemas.microsoft.com/office/spreadsheetml/2010/11/main" uri="{B97F6D7D-B522-45F9-BDA1-12C45D357490}">
          <x15:cacheHierarchy aggregatedColumn="16"/>
        </ext>
      </extLst>
    </cacheHierarchy>
    <cacheHierarchy uniqueName="[Measures].[Count of Employee ID]" caption="Count of Employee ID" measure="1" displayFolder="" measureGroup="Range" count="0" hidden="1">
      <extLst>
        <ext xmlns:x15="http://schemas.microsoft.com/office/spreadsheetml/2010/11/main" uri="{B97F6D7D-B522-45F9-BDA1-12C45D357490}">
          <x15:cacheHierarchy aggregatedColumn="0"/>
        </ext>
      </extLst>
    </cacheHierarchy>
    <cacheHierarchy uniqueName="[Measures].[Sum of Attendance Days (Cleaned)]" caption="Sum of Attendance Days (Cleaned)" measure="1" displayFolder="" measureGroup="Range" count="0" hidden="1">
      <extLst>
        <ext xmlns:x15="http://schemas.microsoft.com/office/spreadsheetml/2010/11/main" uri="{B97F6D7D-B522-45F9-BDA1-12C45D357490}">
          <x15:cacheHierarchy aggregatedColumn="14"/>
        </ext>
      </extLst>
    </cacheHierarchy>
    <cacheHierarchy uniqueName="[Measures].[Count of Gender (Cleaned)]" caption="Count of Gender (Cleaned)" measure="1" displayFolder="" measureGroup="Range"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pivotCacheId="182565028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nik jana" refreshedDate="46171.180522685187" backgroundQuery="1" createdVersion="8" refreshedVersion="8" minRefreshableVersion="3" recordCount="0" supportSubquery="1" supportAdvancedDrill="1" xr:uid="{A8ED6F3C-94A4-4BF5-BA96-839F8967E12D}">
  <cacheSource type="external" connectionId="1">
    <extLst>
      <ext xmlns:x14="http://schemas.microsoft.com/office/spreadsheetml/2009/9/main" uri="{F057638F-6D5F-4e77-A914-E7F072B9BCA8}">
        <x14:sourceConnection name="ThisWorkbookDataModel"/>
      </ext>
    </extLst>
  </cacheSource>
  <cacheFields count="4">
    <cacheField name="[Range].[Gender (Cleaned)].[Gender (Cleaned)]" caption="Gender (Cleaned)" numFmtId="0" hierarchy="3" level="1">
      <sharedItems count="2">
        <s v="Female"/>
        <s v="Male"/>
      </sharedItems>
    </cacheField>
    <cacheField name="[Measures].[Sum of Performance Score (%)]" caption="Sum of Performance Score (%)" numFmtId="0" hierarchy="21" level="32767"/>
    <cacheField name="[Range].[City (Cleaned)].[City (Cleaned)]" caption="City (Cleaned)" numFmtId="0" hierarchy="7" level="1">
      <sharedItems containsSemiMixedTypes="0" containsNonDate="0" containsString="0"/>
    </cacheField>
    <cacheField name="[Range].[Department (Cleaned)].[Department (Cleaned)]" caption="Department (Cleaned)" numFmtId="0" hierarchy="4" level="1">
      <sharedItems containsSemiMixedTypes="0" containsNonDate="0" containsString="0"/>
    </cacheField>
  </cacheFields>
  <cacheHierarchies count="28">
    <cacheHierarchy uniqueName="[Range].[Employee ID]" caption="Employee ID" attribute="1" defaultMemberUniqueName="[Range].[Employee ID].[All]" allUniqueName="[Range].[Employee ID].[All]" dimensionUniqueName="[Range]" displayFolder="" count="0" memberValueDatatype="130" unbalanced="0"/>
    <cacheHierarchy uniqueName="[Range].[Employee Name (Cleaned)]" caption="Employee Name (Cleaned)" attribute="1" defaultMemberUniqueName="[Range].[Employee Name (Cleaned)].[All]" allUniqueName="[Range].[Employee Name (Cleaned)].[All]" dimensionUniqueName="[Range]" displayFolder="" count="0" memberValueDatatype="130" unbalanced="0"/>
    <cacheHierarchy uniqueName="[Range].[Age]" caption="Age" attribute="1" defaultMemberUniqueName="[Range].[Age].[All]" allUniqueName="[Range].[Age].[All]" dimensionUniqueName="[Range]" displayFolder="" count="0" memberValueDatatype="20" unbalanced="0"/>
    <cacheHierarchy uniqueName="[Range].[Gender (Cleaned)]" caption="Gender (Cleaned)" attribute="1" defaultMemberUniqueName="[Range].[Gender (Cleaned)].[All]" allUniqueName="[Range].[Gender (Cleaned)].[All]" dimensionUniqueName="[Range]" displayFolder="" count="2" memberValueDatatype="130" unbalanced="0">
      <fieldsUsage count="2">
        <fieldUsage x="-1"/>
        <fieldUsage x="0"/>
      </fieldsUsage>
    </cacheHierarchy>
    <cacheHierarchy uniqueName="[Range].[Department (Cleaned)]" caption="Department (Cleaned)" attribute="1" defaultMemberUniqueName="[Range].[Department (Cleaned)].[All]" allUniqueName="[Range].[Department (Cleaned)].[All]" dimensionUniqueName="[Range]" displayFolder="" count="2" memberValueDatatype="130" unbalanced="0">
      <fieldsUsage count="2">
        <fieldUsage x="-1"/>
        <fieldUsage x="3"/>
      </fieldsUsage>
    </cacheHierarchy>
    <cacheHierarchy uniqueName="[Range].[Designation]" caption="Designation" attribute="1" defaultMemberUniqueName="[Range].[Designation].[All]" allUniqueName="[Range].[Designation].[All]" dimensionUniqueName="[Range]" displayFolder="" count="0" memberValueDatatype="130" unbalanced="0"/>
    <cacheHierarchy uniqueName="[Range].[Date of Joining (Cleaned)]" caption="Date of Joining (Cleaned)" attribute="1" defaultMemberUniqueName="[Range].[Date of Joining (Cleaned)].[All]" allUniqueName="[Range].[Date of Joining (Cleaned)].[All]" dimensionUniqueName="[Range]" displayFolder="" count="0" memberValueDatatype="130" unbalanced="0"/>
    <cacheHierarchy uniqueName="[Range].[City (Cleaned)]" caption="City (Cleaned)" attribute="1" defaultMemberUniqueName="[Range].[City (Cleaned)].[All]" allUniqueName="[Range].[City (Cleaned)].[All]" dimensionUniqueName="[Range]" displayFolder="" count="2" memberValueDatatype="130" unbalanced="0">
      <fieldsUsage count="2">
        <fieldUsage x="-1"/>
        <fieldUsage x="2"/>
      </fieldsUsage>
    </cacheHierarchy>
    <cacheHierarchy uniqueName="[Range].[Basic Salary (₹)]" caption="Basic Salary (₹)" attribute="1" defaultMemberUniqueName="[Range].[Basic Salary (₹)].[All]" allUniqueName="[Range].[Basic Salary (₹)].[All]" dimensionUniqueName="[Range]" displayFolder="" count="0" memberValueDatatype="20" unbalanced="0"/>
    <cacheHierarchy uniqueName="[Range].[HRA (₹)]" caption="HRA (₹)" attribute="1" defaultMemberUniqueName="[Range].[HRA (₹)].[All]" allUniqueName="[Range].[HRA (₹)].[All]" dimensionUniqueName="[Range]" displayFolder="" count="0" memberValueDatatype="20" unbalanced="0"/>
    <cacheHierarchy uniqueName="[Range].[Allowances (₹)]" caption="Allowances (₹)" attribute="1" defaultMemberUniqueName="[Range].[Allowances (₹)].[All]" allUniqueName="[Range].[Allowances (₹)].[All]" dimensionUniqueName="[Range]" displayFolder="" count="0" memberValueDatatype="20" unbalanced="0"/>
    <cacheHierarchy uniqueName="[Range].[Overtime (₹)]" caption="Overtime (₹)" attribute="1" defaultMemberUniqueName="[Range].[Overtime (₹)].[All]" allUniqueName="[Range].[Overtime (₹)].[All]" dimensionUniqueName="[Range]" displayFolder="" count="0" memberValueDatatype="20" unbalanced="0"/>
    <cacheHierarchy uniqueName="[Range].[Deductions (₹)]" caption="Deductions (₹)" attribute="1" defaultMemberUniqueName="[Range].[Deductions (₹)].[All]" allUniqueName="[Range].[Deductions (₹)].[All]" dimensionUniqueName="[Range]" displayFolder="" count="0" memberValueDatatype="20" unbalanced="0"/>
    <cacheHierarchy uniqueName="[Range].[Net Salary (₹)]" caption="Net Salary (₹)" attribute="1" defaultMemberUniqueName="[Range].[Net Salary (₹)].[All]" allUniqueName="[Range].[Net Salary (₹)].[All]" dimensionUniqueName="[Range]" displayFolder="" count="0" memberValueDatatype="20" unbalanced="0"/>
    <cacheHierarchy uniqueName="[Range].[Attendance Days (Cleaned)]" caption="Attendance Days (Cleaned)" attribute="1" defaultMemberUniqueName="[Range].[Attendance Days (Cleaned)].[All]" allUniqueName="[Range].[Attendance Days (Cleaned)].[All]" dimensionUniqueName="[Range]" displayFolder="" count="0" memberValueDatatype="20" unbalanced="0"/>
    <cacheHierarchy uniqueName="[Range].[Performance Score (%)]" caption="Performance Score (%)" attribute="1" defaultMemberUniqueName="[Range].[Performance Score (%)].[All]" allUniqueName="[Range].[Performance Score (%)].[All]" dimensionUniqueName="[Range]" displayFolder="" count="0" memberValueDatatype="20" unbalanced="0"/>
    <cacheHierarchy uniqueName="[Range].[Performance Rating]" caption="Performance Rating" attribute="1" defaultMemberUniqueName="[Range].[Performance Rating].[All]" allUniqueName="[Range].[Performance Rating].[All]" dimensionUniqueName="[Range]" displayFolder="" count="0" memberValueDatatype="130" unbalanced="0"/>
    <cacheHierarchy uniqueName="[Range].[Employment Status]" caption="Employment Status" attribute="1" defaultMemberUniqueName="[Range].[Employment Status].[All]" allUniqueName="[Range].[Employment Status].[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Net Salary (₹)]" caption="Sum of Net Salary (₹)" measure="1" displayFolder="" measureGroup="Range" count="0" hidden="1">
      <extLst>
        <ext xmlns:x15="http://schemas.microsoft.com/office/spreadsheetml/2010/11/main" uri="{B97F6D7D-B522-45F9-BDA1-12C45D357490}">
          <x15:cacheHierarchy aggregatedColumn="13"/>
        </ext>
      </extLst>
    </cacheHierarchy>
    <cacheHierarchy uniqueName="[Measures].[Sum of Performance Score (%)]" caption="Sum of Performance Score (%)" measure="1" displayFolder="" measureGroup="Range" count="0" oneField="1" hidden="1">
      <fieldsUsage count="1">
        <fieldUsage x="1"/>
      </fieldsUsage>
      <extLst>
        <ext xmlns:x15="http://schemas.microsoft.com/office/spreadsheetml/2010/11/main" uri="{B97F6D7D-B522-45F9-BDA1-12C45D357490}">
          <x15:cacheHierarchy aggregatedColumn="15"/>
        </ext>
      </extLst>
    </cacheHierarchy>
    <cacheHierarchy uniqueName="[Measures].[Sum of Overtime (₹)]" caption="Sum of Overtime (₹)" measure="1" displayFolder="" measureGroup="Range" count="0" hidden="1">
      <extLst>
        <ext xmlns:x15="http://schemas.microsoft.com/office/spreadsheetml/2010/11/main" uri="{B97F6D7D-B522-45F9-BDA1-12C45D357490}">
          <x15:cacheHierarchy aggregatedColumn="11"/>
        </ext>
      </extLst>
    </cacheHierarchy>
    <cacheHierarchy uniqueName="[Measures].[Sum of Allowances (₹)]" caption="Sum of Allowances (₹)" measure="1" displayFolder="" measureGroup="Range" count="0" hidden="1">
      <extLst>
        <ext xmlns:x15="http://schemas.microsoft.com/office/spreadsheetml/2010/11/main" uri="{B97F6D7D-B522-45F9-BDA1-12C45D357490}">
          <x15:cacheHierarchy aggregatedColumn="10"/>
        </ext>
      </extLst>
    </cacheHierarchy>
    <cacheHierarchy uniqueName="[Measures].[Count of Performance Rating]" caption="Count of Performance Rating" measure="1" displayFolder="" measureGroup="Range" count="0" hidden="1">
      <extLst>
        <ext xmlns:x15="http://schemas.microsoft.com/office/spreadsheetml/2010/11/main" uri="{B97F6D7D-B522-45F9-BDA1-12C45D357490}">
          <x15:cacheHierarchy aggregatedColumn="16"/>
        </ext>
      </extLst>
    </cacheHierarchy>
    <cacheHierarchy uniqueName="[Measures].[Count of Employee ID]" caption="Count of Employee ID" measure="1" displayFolder="" measureGroup="Range" count="0" hidden="1">
      <extLst>
        <ext xmlns:x15="http://schemas.microsoft.com/office/spreadsheetml/2010/11/main" uri="{B97F6D7D-B522-45F9-BDA1-12C45D357490}">
          <x15:cacheHierarchy aggregatedColumn="0"/>
        </ext>
      </extLst>
    </cacheHierarchy>
    <cacheHierarchy uniqueName="[Measures].[Sum of Attendance Days (Cleaned)]" caption="Sum of Attendance Days (Cleaned)" measure="1" displayFolder="" measureGroup="Range" count="0" hidden="1">
      <extLst>
        <ext xmlns:x15="http://schemas.microsoft.com/office/spreadsheetml/2010/11/main" uri="{B97F6D7D-B522-45F9-BDA1-12C45D357490}">
          <x15:cacheHierarchy aggregatedColumn="14"/>
        </ext>
      </extLst>
    </cacheHierarchy>
    <cacheHierarchy uniqueName="[Measures].[Count of Gender (Cleaned)]" caption="Count of Gender (Cleaned)" measure="1" displayFolder="" measureGroup="Range"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pivotCacheId="187831012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nik jana" refreshedDate="46171.180551736114" backgroundQuery="1" createdVersion="8" refreshedVersion="8" minRefreshableVersion="3" recordCount="0" supportSubquery="1" supportAdvancedDrill="1" xr:uid="{DFC0C05F-C769-4485-B3E0-97118241BE9F}">
  <cacheSource type="external" connectionId="1">
    <extLst>
      <ext xmlns:x14="http://schemas.microsoft.com/office/spreadsheetml/2009/9/main" uri="{F057638F-6D5F-4e77-A914-E7F072B9BCA8}">
        <x14:sourceConnection name="ThisWorkbookDataModel"/>
      </ext>
    </extLst>
  </cacheSource>
  <cacheFields count="3">
    <cacheField name="[Measures].[Sum of Net Salary (₹)]" caption="Sum of Net Salary (₹)" numFmtId="0" hierarchy="20" level="32767"/>
    <cacheField name="[Range].[Department (Cleaned)].[Department (Cleaned)]" caption="Department (Cleaned)" numFmtId="0" hierarchy="4" level="1">
      <sharedItems count="6">
        <s v="ENGINEERING"/>
        <s v="FINANCE"/>
        <s v="HR"/>
        <s v="MARKETING"/>
        <s v="OPERATIONS"/>
        <s v="SALES"/>
      </sharedItems>
    </cacheField>
    <cacheField name="[Range].[City (Cleaned)].[City (Cleaned)]" caption="City (Cleaned)" numFmtId="0" hierarchy="7" level="1">
      <sharedItems containsSemiMixedTypes="0" containsNonDate="0" containsString="0"/>
    </cacheField>
  </cacheFields>
  <cacheHierarchies count="28">
    <cacheHierarchy uniqueName="[Range].[Employee ID]" caption="Employee ID" attribute="1" defaultMemberUniqueName="[Range].[Employee ID].[All]" allUniqueName="[Range].[Employee ID].[All]" dimensionUniqueName="[Range]" displayFolder="" count="0" memberValueDatatype="130" unbalanced="0"/>
    <cacheHierarchy uniqueName="[Range].[Employee Name (Cleaned)]" caption="Employee Name (Cleaned)" attribute="1" defaultMemberUniqueName="[Range].[Employee Name (Cleaned)].[All]" allUniqueName="[Range].[Employee Name (Cleaned)].[All]" dimensionUniqueName="[Range]" displayFolder="" count="0" memberValueDatatype="130" unbalanced="0"/>
    <cacheHierarchy uniqueName="[Range].[Age]" caption="Age" attribute="1" defaultMemberUniqueName="[Range].[Age].[All]" allUniqueName="[Range].[Age].[All]" dimensionUniqueName="[Range]" displayFolder="" count="0" memberValueDatatype="20" unbalanced="0"/>
    <cacheHierarchy uniqueName="[Range].[Gender (Cleaned)]" caption="Gender (Cleaned)" attribute="1" defaultMemberUniqueName="[Range].[Gender (Cleaned)].[All]" allUniqueName="[Range].[Gender (Cleaned)].[All]" dimensionUniqueName="[Range]" displayFolder="" count="0" memberValueDatatype="130" unbalanced="0"/>
    <cacheHierarchy uniqueName="[Range].[Department (Cleaned)]" caption="Department (Cleaned)" attribute="1" defaultMemberUniqueName="[Range].[Department (Cleaned)].[All]" allUniqueName="[Range].[Department (Cleaned)].[All]" dimensionUniqueName="[Range]" displayFolder="" count="2" memberValueDatatype="130" unbalanced="0">
      <fieldsUsage count="2">
        <fieldUsage x="-1"/>
        <fieldUsage x="1"/>
      </fieldsUsage>
    </cacheHierarchy>
    <cacheHierarchy uniqueName="[Range].[Designation]" caption="Designation" attribute="1" defaultMemberUniqueName="[Range].[Designation].[All]" allUniqueName="[Range].[Designation].[All]" dimensionUniqueName="[Range]" displayFolder="" count="0" memberValueDatatype="130" unbalanced="0"/>
    <cacheHierarchy uniqueName="[Range].[Date of Joining (Cleaned)]" caption="Date of Joining (Cleaned)" attribute="1" defaultMemberUniqueName="[Range].[Date of Joining (Cleaned)].[All]" allUniqueName="[Range].[Date of Joining (Cleaned)].[All]" dimensionUniqueName="[Range]" displayFolder="" count="0" memberValueDatatype="130" unbalanced="0"/>
    <cacheHierarchy uniqueName="[Range].[City (Cleaned)]" caption="City (Cleaned)" attribute="1" defaultMemberUniqueName="[Range].[City (Cleaned)].[All]" allUniqueName="[Range].[City (Cleaned)].[All]" dimensionUniqueName="[Range]" displayFolder="" count="2" memberValueDatatype="130" unbalanced="0">
      <fieldsUsage count="2">
        <fieldUsage x="-1"/>
        <fieldUsage x="2"/>
      </fieldsUsage>
    </cacheHierarchy>
    <cacheHierarchy uniqueName="[Range].[Basic Salary (₹)]" caption="Basic Salary (₹)" attribute="1" defaultMemberUniqueName="[Range].[Basic Salary (₹)].[All]" allUniqueName="[Range].[Basic Salary (₹)].[All]" dimensionUniqueName="[Range]" displayFolder="" count="0" memberValueDatatype="20" unbalanced="0"/>
    <cacheHierarchy uniqueName="[Range].[HRA (₹)]" caption="HRA (₹)" attribute="1" defaultMemberUniqueName="[Range].[HRA (₹)].[All]" allUniqueName="[Range].[HRA (₹)].[All]" dimensionUniqueName="[Range]" displayFolder="" count="0" memberValueDatatype="20" unbalanced="0"/>
    <cacheHierarchy uniqueName="[Range].[Allowances (₹)]" caption="Allowances (₹)" attribute="1" defaultMemberUniqueName="[Range].[Allowances (₹)].[All]" allUniqueName="[Range].[Allowances (₹)].[All]" dimensionUniqueName="[Range]" displayFolder="" count="0" memberValueDatatype="20" unbalanced="0"/>
    <cacheHierarchy uniqueName="[Range].[Overtime (₹)]" caption="Overtime (₹)" attribute="1" defaultMemberUniqueName="[Range].[Overtime (₹)].[All]" allUniqueName="[Range].[Overtime (₹)].[All]" dimensionUniqueName="[Range]" displayFolder="" count="0" memberValueDatatype="20" unbalanced="0"/>
    <cacheHierarchy uniqueName="[Range].[Deductions (₹)]" caption="Deductions (₹)" attribute="1" defaultMemberUniqueName="[Range].[Deductions (₹)].[All]" allUniqueName="[Range].[Deductions (₹)].[All]" dimensionUniqueName="[Range]" displayFolder="" count="0" memberValueDatatype="20" unbalanced="0"/>
    <cacheHierarchy uniqueName="[Range].[Net Salary (₹)]" caption="Net Salary (₹)" attribute="1" defaultMemberUniqueName="[Range].[Net Salary (₹)].[All]" allUniqueName="[Range].[Net Salary (₹)].[All]" dimensionUniqueName="[Range]" displayFolder="" count="0" memberValueDatatype="20" unbalanced="0"/>
    <cacheHierarchy uniqueName="[Range].[Attendance Days (Cleaned)]" caption="Attendance Days (Cleaned)" attribute="1" defaultMemberUniqueName="[Range].[Attendance Days (Cleaned)].[All]" allUniqueName="[Range].[Attendance Days (Cleaned)].[All]" dimensionUniqueName="[Range]" displayFolder="" count="0" memberValueDatatype="20" unbalanced="0"/>
    <cacheHierarchy uniqueName="[Range].[Performance Score (%)]" caption="Performance Score (%)" attribute="1" defaultMemberUniqueName="[Range].[Performance Score (%)].[All]" allUniqueName="[Range].[Performance Score (%)].[All]" dimensionUniqueName="[Range]" displayFolder="" count="0" memberValueDatatype="20" unbalanced="0"/>
    <cacheHierarchy uniqueName="[Range].[Performance Rating]" caption="Performance Rating" attribute="1" defaultMemberUniqueName="[Range].[Performance Rating].[All]" allUniqueName="[Range].[Performance Rating].[All]" dimensionUniqueName="[Range]" displayFolder="" count="0" memberValueDatatype="130" unbalanced="0"/>
    <cacheHierarchy uniqueName="[Range].[Employment Status]" caption="Employment Status" attribute="1" defaultMemberUniqueName="[Range].[Employment Status].[All]" allUniqueName="[Range].[Employment Status].[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Net Salary (₹)]" caption="Sum of Net Salary (₹)" measure="1" displayFolder="" measureGroup="Range" count="0" oneField="1" hidden="1">
      <fieldsUsage count="1">
        <fieldUsage x="0"/>
      </fieldsUsage>
      <extLst>
        <ext xmlns:x15="http://schemas.microsoft.com/office/spreadsheetml/2010/11/main" uri="{B97F6D7D-B522-45F9-BDA1-12C45D357490}">
          <x15:cacheHierarchy aggregatedColumn="13"/>
        </ext>
      </extLst>
    </cacheHierarchy>
    <cacheHierarchy uniqueName="[Measures].[Sum of Performance Score (%)]" caption="Sum of Performance Score (%)" measure="1" displayFolder="" measureGroup="Range" count="0" hidden="1">
      <extLst>
        <ext xmlns:x15="http://schemas.microsoft.com/office/spreadsheetml/2010/11/main" uri="{B97F6D7D-B522-45F9-BDA1-12C45D357490}">
          <x15:cacheHierarchy aggregatedColumn="15"/>
        </ext>
      </extLst>
    </cacheHierarchy>
    <cacheHierarchy uniqueName="[Measures].[Sum of Overtime (₹)]" caption="Sum of Overtime (₹)" measure="1" displayFolder="" measureGroup="Range" count="0" hidden="1">
      <extLst>
        <ext xmlns:x15="http://schemas.microsoft.com/office/spreadsheetml/2010/11/main" uri="{B97F6D7D-B522-45F9-BDA1-12C45D357490}">
          <x15:cacheHierarchy aggregatedColumn="11"/>
        </ext>
      </extLst>
    </cacheHierarchy>
    <cacheHierarchy uniqueName="[Measures].[Sum of Allowances (₹)]" caption="Sum of Allowances (₹)" measure="1" displayFolder="" measureGroup="Range" count="0" hidden="1">
      <extLst>
        <ext xmlns:x15="http://schemas.microsoft.com/office/spreadsheetml/2010/11/main" uri="{B97F6D7D-B522-45F9-BDA1-12C45D357490}">
          <x15:cacheHierarchy aggregatedColumn="10"/>
        </ext>
      </extLst>
    </cacheHierarchy>
    <cacheHierarchy uniqueName="[Measures].[Count of Performance Rating]" caption="Count of Performance Rating" measure="1" displayFolder="" measureGroup="Range" count="0" hidden="1">
      <extLst>
        <ext xmlns:x15="http://schemas.microsoft.com/office/spreadsheetml/2010/11/main" uri="{B97F6D7D-B522-45F9-BDA1-12C45D357490}">
          <x15:cacheHierarchy aggregatedColumn="16"/>
        </ext>
      </extLst>
    </cacheHierarchy>
    <cacheHierarchy uniqueName="[Measures].[Count of Employee ID]" caption="Count of Employee ID" measure="1" displayFolder="" measureGroup="Range" count="0" hidden="1">
      <extLst>
        <ext xmlns:x15="http://schemas.microsoft.com/office/spreadsheetml/2010/11/main" uri="{B97F6D7D-B522-45F9-BDA1-12C45D357490}">
          <x15:cacheHierarchy aggregatedColumn="0"/>
        </ext>
      </extLst>
    </cacheHierarchy>
    <cacheHierarchy uniqueName="[Measures].[Sum of Attendance Days (Cleaned)]" caption="Sum of Attendance Days (Cleaned)" measure="1" displayFolder="" measureGroup="Range" count="0" hidden="1">
      <extLst>
        <ext xmlns:x15="http://schemas.microsoft.com/office/spreadsheetml/2010/11/main" uri="{B97F6D7D-B522-45F9-BDA1-12C45D357490}">
          <x15:cacheHierarchy aggregatedColumn="14"/>
        </ext>
      </extLst>
    </cacheHierarchy>
    <cacheHierarchy uniqueName="[Measures].[Count of Gender (Cleaned)]" caption="Count of Gender (Cleaned)" measure="1" displayFolder="" measureGroup="Range"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pivotCacheId="98520726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nik jana" refreshedDate="46171.180552083337" backgroundQuery="1" createdVersion="8" refreshedVersion="8" minRefreshableVersion="3" recordCount="0" supportSubquery="1" supportAdvancedDrill="1" xr:uid="{AE1D9E95-7385-4789-802D-E9CD66E35773}">
  <cacheSource type="external" connectionId="1">
    <extLst>
      <ext xmlns:x14="http://schemas.microsoft.com/office/spreadsheetml/2009/9/main" uri="{F057638F-6D5F-4e77-A914-E7F072B9BCA8}">
        <x14:sourceConnection name="ThisWorkbookDataModel"/>
      </ext>
    </extLst>
  </cacheSource>
  <cacheFields count="3">
    <cacheField name="[Measures].[Sum of Net Salary (₹)]" caption="Sum of Net Salary (₹)" numFmtId="0" hierarchy="20" level="32767"/>
    <cacheField name="[Range].[Department (Cleaned)].[Department (Cleaned)]" caption="Department (Cleaned)" numFmtId="0" hierarchy="4" level="1">
      <sharedItems count="6">
        <s v="ENGINEERING"/>
        <s v="FINANCE"/>
        <s v="HR"/>
        <s v="MARKETING"/>
        <s v="OPERATIONS"/>
        <s v="SALES"/>
      </sharedItems>
    </cacheField>
    <cacheField name="[Range].[City (Cleaned)].[City (Cleaned)]" caption="City (Cleaned)" numFmtId="0" hierarchy="7" level="1">
      <sharedItems containsSemiMixedTypes="0" containsNonDate="0" containsString="0"/>
    </cacheField>
  </cacheFields>
  <cacheHierarchies count="28">
    <cacheHierarchy uniqueName="[Range].[Employee ID]" caption="Employee ID" attribute="1" defaultMemberUniqueName="[Range].[Employee ID].[All]" allUniqueName="[Range].[Employee ID].[All]" dimensionUniqueName="[Range]" displayFolder="" count="0" memberValueDatatype="130" unbalanced="0"/>
    <cacheHierarchy uniqueName="[Range].[Employee Name (Cleaned)]" caption="Employee Name (Cleaned)" attribute="1" defaultMemberUniqueName="[Range].[Employee Name (Cleaned)].[All]" allUniqueName="[Range].[Employee Name (Cleaned)].[All]" dimensionUniqueName="[Range]" displayFolder="" count="0" memberValueDatatype="130" unbalanced="0"/>
    <cacheHierarchy uniqueName="[Range].[Age]" caption="Age" attribute="1" defaultMemberUniqueName="[Range].[Age].[All]" allUniqueName="[Range].[Age].[All]" dimensionUniqueName="[Range]" displayFolder="" count="0" memberValueDatatype="20" unbalanced="0"/>
    <cacheHierarchy uniqueName="[Range].[Gender (Cleaned)]" caption="Gender (Cleaned)" attribute="1" defaultMemberUniqueName="[Range].[Gender (Cleaned)].[All]" allUniqueName="[Range].[Gender (Cleaned)].[All]" dimensionUniqueName="[Range]" displayFolder="" count="0" memberValueDatatype="130" unbalanced="0"/>
    <cacheHierarchy uniqueName="[Range].[Department (Cleaned)]" caption="Department (Cleaned)" attribute="1" defaultMemberUniqueName="[Range].[Department (Cleaned)].[All]" allUniqueName="[Range].[Department (Cleaned)].[All]" dimensionUniqueName="[Range]" displayFolder="" count="2" memberValueDatatype="130" unbalanced="0">
      <fieldsUsage count="2">
        <fieldUsage x="-1"/>
        <fieldUsage x="1"/>
      </fieldsUsage>
    </cacheHierarchy>
    <cacheHierarchy uniqueName="[Range].[Designation]" caption="Designation" attribute="1" defaultMemberUniqueName="[Range].[Designation].[All]" allUniqueName="[Range].[Designation].[All]" dimensionUniqueName="[Range]" displayFolder="" count="0" memberValueDatatype="130" unbalanced="0"/>
    <cacheHierarchy uniqueName="[Range].[Date of Joining (Cleaned)]" caption="Date of Joining (Cleaned)" attribute="1" defaultMemberUniqueName="[Range].[Date of Joining (Cleaned)].[All]" allUniqueName="[Range].[Date of Joining (Cleaned)].[All]" dimensionUniqueName="[Range]" displayFolder="" count="0" memberValueDatatype="130" unbalanced="0"/>
    <cacheHierarchy uniqueName="[Range].[City (Cleaned)]" caption="City (Cleaned)" attribute="1" defaultMemberUniqueName="[Range].[City (Cleaned)].[All]" allUniqueName="[Range].[City (Cleaned)].[All]" dimensionUniqueName="[Range]" displayFolder="" count="2" memberValueDatatype="130" unbalanced="0">
      <fieldsUsage count="2">
        <fieldUsage x="-1"/>
        <fieldUsage x="2"/>
      </fieldsUsage>
    </cacheHierarchy>
    <cacheHierarchy uniqueName="[Range].[Basic Salary (₹)]" caption="Basic Salary (₹)" attribute="1" defaultMemberUniqueName="[Range].[Basic Salary (₹)].[All]" allUniqueName="[Range].[Basic Salary (₹)].[All]" dimensionUniqueName="[Range]" displayFolder="" count="0" memberValueDatatype="20" unbalanced="0"/>
    <cacheHierarchy uniqueName="[Range].[HRA (₹)]" caption="HRA (₹)" attribute="1" defaultMemberUniqueName="[Range].[HRA (₹)].[All]" allUniqueName="[Range].[HRA (₹)].[All]" dimensionUniqueName="[Range]" displayFolder="" count="0" memberValueDatatype="20" unbalanced="0"/>
    <cacheHierarchy uniqueName="[Range].[Allowances (₹)]" caption="Allowances (₹)" attribute="1" defaultMemberUniqueName="[Range].[Allowances (₹)].[All]" allUniqueName="[Range].[Allowances (₹)].[All]" dimensionUniqueName="[Range]" displayFolder="" count="0" memberValueDatatype="20" unbalanced="0"/>
    <cacheHierarchy uniqueName="[Range].[Overtime (₹)]" caption="Overtime (₹)" attribute="1" defaultMemberUniqueName="[Range].[Overtime (₹)].[All]" allUniqueName="[Range].[Overtime (₹)].[All]" dimensionUniqueName="[Range]" displayFolder="" count="0" memberValueDatatype="20" unbalanced="0"/>
    <cacheHierarchy uniqueName="[Range].[Deductions (₹)]" caption="Deductions (₹)" attribute="1" defaultMemberUniqueName="[Range].[Deductions (₹)].[All]" allUniqueName="[Range].[Deductions (₹)].[All]" dimensionUniqueName="[Range]" displayFolder="" count="0" memberValueDatatype="20" unbalanced="0"/>
    <cacheHierarchy uniqueName="[Range].[Net Salary (₹)]" caption="Net Salary (₹)" attribute="1" defaultMemberUniqueName="[Range].[Net Salary (₹)].[All]" allUniqueName="[Range].[Net Salary (₹)].[All]" dimensionUniqueName="[Range]" displayFolder="" count="0" memberValueDatatype="20" unbalanced="0"/>
    <cacheHierarchy uniqueName="[Range].[Attendance Days (Cleaned)]" caption="Attendance Days (Cleaned)" attribute="1" defaultMemberUniqueName="[Range].[Attendance Days (Cleaned)].[All]" allUniqueName="[Range].[Attendance Days (Cleaned)].[All]" dimensionUniqueName="[Range]" displayFolder="" count="0" memberValueDatatype="20" unbalanced="0"/>
    <cacheHierarchy uniqueName="[Range].[Performance Score (%)]" caption="Performance Score (%)" attribute="1" defaultMemberUniqueName="[Range].[Performance Score (%)].[All]" allUniqueName="[Range].[Performance Score (%)].[All]" dimensionUniqueName="[Range]" displayFolder="" count="0" memberValueDatatype="20" unbalanced="0"/>
    <cacheHierarchy uniqueName="[Range].[Performance Rating]" caption="Performance Rating" attribute="1" defaultMemberUniqueName="[Range].[Performance Rating].[All]" allUniqueName="[Range].[Performance Rating].[All]" dimensionUniqueName="[Range]" displayFolder="" count="0" memberValueDatatype="130" unbalanced="0"/>
    <cacheHierarchy uniqueName="[Range].[Employment Status]" caption="Employment Status" attribute="1" defaultMemberUniqueName="[Range].[Employment Status].[All]" allUniqueName="[Range].[Employment Status].[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Net Salary (₹)]" caption="Sum of Net Salary (₹)" measure="1" displayFolder="" measureGroup="Range" count="0" oneField="1" hidden="1">
      <fieldsUsage count="1">
        <fieldUsage x="0"/>
      </fieldsUsage>
      <extLst>
        <ext xmlns:x15="http://schemas.microsoft.com/office/spreadsheetml/2010/11/main" uri="{B97F6D7D-B522-45F9-BDA1-12C45D357490}">
          <x15:cacheHierarchy aggregatedColumn="13"/>
        </ext>
      </extLst>
    </cacheHierarchy>
    <cacheHierarchy uniqueName="[Measures].[Sum of Performance Score (%)]" caption="Sum of Performance Score (%)" measure="1" displayFolder="" measureGroup="Range" count="0" hidden="1">
      <extLst>
        <ext xmlns:x15="http://schemas.microsoft.com/office/spreadsheetml/2010/11/main" uri="{B97F6D7D-B522-45F9-BDA1-12C45D357490}">
          <x15:cacheHierarchy aggregatedColumn="15"/>
        </ext>
      </extLst>
    </cacheHierarchy>
    <cacheHierarchy uniqueName="[Measures].[Sum of Overtime (₹)]" caption="Sum of Overtime (₹)" measure="1" displayFolder="" measureGroup="Range" count="0" hidden="1">
      <extLst>
        <ext xmlns:x15="http://schemas.microsoft.com/office/spreadsheetml/2010/11/main" uri="{B97F6D7D-B522-45F9-BDA1-12C45D357490}">
          <x15:cacheHierarchy aggregatedColumn="11"/>
        </ext>
      </extLst>
    </cacheHierarchy>
    <cacheHierarchy uniqueName="[Measures].[Sum of Allowances (₹)]" caption="Sum of Allowances (₹)" measure="1" displayFolder="" measureGroup="Range" count="0" hidden="1">
      <extLst>
        <ext xmlns:x15="http://schemas.microsoft.com/office/spreadsheetml/2010/11/main" uri="{B97F6D7D-B522-45F9-BDA1-12C45D357490}">
          <x15:cacheHierarchy aggregatedColumn="10"/>
        </ext>
      </extLst>
    </cacheHierarchy>
    <cacheHierarchy uniqueName="[Measures].[Count of Performance Rating]" caption="Count of Performance Rating" measure="1" displayFolder="" measureGroup="Range" count="0" hidden="1">
      <extLst>
        <ext xmlns:x15="http://schemas.microsoft.com/office/spreadsheetml/2010/11/main" uri="{B97F6D7D-B522-45F9-BDA1-12C45D357490}">
          <x15:cacheHierarchy aggregatedColumn="16"/>
        </ext>
      </extLst>
    </cacheHierarchy>
    <cacheHierarchy uniqueName="[Measures].[Count of Employee ID]" caption="Count of Employee ID" measure="1" displayFolder="" measureGroup="Range" count="0" hidden="1">
      <extLst>
        <ext xmlns:x15="http://schemas.microsoft.com/office/spreadsheetml/2010/11/main" uri="{B97F6D7D-B522-45F9-BDA1-12C45D357490}">
          <x15:cacheHierarchy aggregatedColumn="0"/>
        </ext>
      </extLst>
    </cacheHierarchy>
    <cacheHierarchy uniqueName="[Measures].[Sum of Attendance Days (Cleaned)]" caption="Sum of Attendance Days (Cleaned)" measure="1" displayFolder="" measureGroup="Range" count="0" hidden="1">
      <extLst>
        <ext xmlns:x15="http://schemas.microsoft.com/office/spreadsheetml/2010/11/main" uri="{B97F6D7D-B522-45F9-BDA1-12C45D357490}">
          <x15:cacheHierarchy aggregatedColumn="14"/>
        </ext>
      </extLst>
    </cacheHierarchy>
    <cacheHierarchy uniqueName="[Measures].[Count of Gender (Cleaned)]" caption="Count of Gender (Cleaned)" measure="1" displayFolder="" measureGroup="Range"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pivotCacheId="150704442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nik jana" refreshedDate="46171.180576388891" backgroundQuery="1" createdVersion="8" refreshedVersion="8" minRefreshableVersion="3" recordCount="0" supportSubquery="1" supportAdvancedDrill="1" xr:uid="{FE51FDA4-761A-41EF-ACB6-C8FEF9406165}">
  <cacheSource type="external" connectionId="1">
    <extLst>
      <ext xmlns:x14="http://schemas.microsoft.com/office/spreadsheetml/2009/9/main" uri="{F057638F-6D5F-4e77-A914-E7F072B9BCA8}">
        <x14:sourceConnection name="ThisWorkbookDataModel"/>
      </ext>
    </extLst>
  </cacheSource>
  <cacheFields count="6">
    <cacheField name="[Range].[Designation].[Designation]" caption="Designation" numFmtId="0" hierarchy="5" level="1">
      <sharedItems containsSemiMixedTypes="0" containsNonDate="0" containsString="0"/>
    </cacheField>
    <cacheField name="[Range].[Attendance Days (Cleaned)].[Attendance Days (Cleaned)]" caption="Attendance Days (Cleaned)" numFmtId="0" hierarchy="14" level="1">
      <sharedItems containsSemiMixedTypes="0" containsString="0" containsNumber="1" containsInteger="1" minValue="25" maxValue="25" count="1">
        <n v="25"/>
      </sharedItems>
      <extLst>
        <ext xmlns:x15="http://schemas.microsoft.com/office/spreadsheetml/2010/11/main" uri="{4F2E5C28-24EA-4eb8-9CBF-B6C8F9C3D259}">
          <x15:cachedUniqueNames>
            <x15:cachedUniqueName index="0" name="[Range].[Attendance Days (Cleaned)].&amp;[25]"/>
          </x15:cachedUniqueNames>
        </ext>
      </extLst>
    </cacheField>
    <cacheField name="[Range].[Performance Rating].[Performance Rating]" caption="Performance Rating" numFmtId="0" hierarchy="16" level="1">
      <sharedItems count="1">
        <s v="Below Average"/>
      </sharedItems>
    </cacheField>
    <cacheField name="[Range].[City (Cleaned)].[City (Cleaned)]" caption="City (Cleaned)" numFmtId="0" hierarchy="7" level="1">
      <sharedItems containsSemiMixedTypes="0" containsNonDate="0" containsString="0"/>
    </cacheField>
    <cacheField name="[Measures].[Sum of Attendance Days (Cleaned)]" caption="Sum of Attendance Days (Cleaned)" numFmtId="0" hierarchy="26" level="32767"/>
    <cacheField name="[Range].[Department (Cleaned)].[Department (Cleaned)]" caption="Department (Cleaned)" numFmtId="0" hierarchy="4" level="1">
      <sharedItems count="6">
        <s v="ENGINEERING"/>
        <s v="FINANCE"/>
        <s v="HR"/>
        <s v="MARKETING"/>
        <s v="OPERATIONS"/>
        <s v="SALES"/>
      </sharedItems>
    </cacheField>
  </cacheFields>
  <cacheHierarchies count="28">
    <cacheHierarchy uniqueName="[Range].[Employee ID]" caption="Employee ID" attribute="1" defaultMemberUniqueName="[Range].[Employee ID].[All]" allUniqueName="[Range].[Employee ID].[All]" dimensionUniqueName="[Range]" displayFolder="" count="2" memberValueDatatype="130" unbalanced="0"/>
    <cacheHierarchy uniqueName="[Range].[Employee Name (Cleaned)]" caption="Employee Name (Cleaned)" attribute="1" defaultMemberUniqueName="[Range].[Employee Name (Cleaned)].[All]" allUniqueName="[Range].[Employee Name (Cleaned)].[All]" dimensionUniqueName="[Range]" displayFolder="" count="2" memberValueDatatype="130" unbalanced="0"/>
    <cacheHierarchy uniqueName="[Range].[Age]" caption="Age" attribute="1" defaultMemberUniqueName="[Range].[Age].[All]" allUniqueName="[Range].[Age].[All]" dimensionUniqueName="[Range]" displayFolder="" count="2" memberValueDatatype="20" unbalanced="0"/>
    <cacheHierarchy uniqueName="[Range].[Gender (Cleaned)]" caption="Gender (Cleaned)" attribute="1" defaultMemberUniqueName="[Range].[Gender (Cleaned)].[All]" allUniqueName="[Range].[Gender (Cleaned)].[All]" dimensionUniqueName="[Range]" displayFolder="" count="2" memberValueDatatype="130" unbalanced="0"/>
    <cacheHierarchy uniqueName="[Range].[Department (Cleaned)]" caption="Department (Cleaned)" attribute="1" defaultMemberUniqueName="[Range].[Department (Cleaned)].[All]" allUniqueName="[Range].[Department (Cleaned)].[All]" dimensionUniqueName="[Range]" displayFolder="" count="2" memberValueDatatype="130" unbalanced="0">
      <fieldsUsage count="2">
        <fieldUsage x="-1"/>
        <fieldUsage x="5"/>
      </fieldsUsage>
    </cacheHierarchy>
    <cacheHierarchy uniqueName="[Range].[Designation]" caption="Designation" attribute="1" defaultMemberUniqueName="[Range].[Designation].[All]" allUniqueName="[Range].[Designation].[All]" dimensionUniqueName="[Range]" displayFolder="" count="2" memberValueDatatype="130" unbalanced="0">
      <fieldsUsage count="2">
        <fieldUsage x="-1"/>
        <fieldUsage x="0"/>
      </fieldsUsage>
    </cacheHierarchy>
    <cacheHierarchy uniqueName="[Range].[Date of Joining (Cleaned)]" caption="Date of Joining (Cleaned)" attribute="1" defaultMemberUniqueName="[Range].[Date of Joining (Cleaned)].[All]" allUniqueName="[Range].[Date of Joining (Cleaned)].[All]" dimensionUniqueName="[Range]" displayFolder="" count="2" memberValueDatatype="130" unbalanced="0"/>
    <cacheHierarchy uniqueName="[Range].[City (Cleaned)]" caption="City (Cleaned)" attribute="1" defaultMemberUniqueName="[Range].[City (Cleaned)].[All]" allUniqueName="[Range].[City (Cleaned)].[All]" dimensionUniqueName="[Range]" displayFolder="" count="2" memberValueDatatype="130" unbalanced="0">
      <fieldsUsage count="2">
        <fieldUsage x="-1"/>
        <fieldUsage x="3"/>
      </fieldsUsage>
    </cacheHierarchy>
    <cacheHierarchy uniqueName="[Range].[Basic Salary (₹)]" caption="Basic Salary (₹)" attribute="1" defaultMemberUniqueName="[Range].[Basic Salary (₹)].[All]" allUniqueName="[Range].[Basic Salary (₹)].[All]" dimensionUniqueName="[Range]" displayFolder="" count="2" memberValueDatatype="20" unbalanced="0"/>
    <cacheHierarchy uniqueName="[Range].[HRA (₹)]" caption="HRA (₹)" attribute="1" defaultMemberUniqueName="[Range].[HRA (₹)].[All]" allUniqueName="[Range].[HRA (₹)].[All]" dimensionUniqueName="[Range]" displayFolder="" count="2" memberValueDatatype="20" unbalanced="0"/>
    <cacheHierarchy uniqueName="[Range].[Allowances (₹)]" caption="Allowances (₹)" attribute="1" defaultMemberUniqueName="[Range].[Allowances (₹)].[All]" allUniqueName="[Range].[Allowances (₹)].[All]" dimensionUniqueName="[Range]" displayFolder="" count="2" memberValueDatatype="20" unbalanced="0"/>
    <cacheHierarchy uniqueName="[Range].[Overtime (₹)]" caption="Overtime (₹)" attribute="1" defaultMemberUniqueName="[Range].[Overtime (₹)].[All]" allUniqueName="[Range].[Overtime (₹)].[All]" dimensionUniqueName="[Range]" displayFolder="" count="2" memberValueDatatype="20" unbalanced="0"/>
    <cacheHierarchy uniqueName="[Range].[Deductions (₹)]" caption="Deductions (₹)" attribute="1" defaultMemberUniqueName="[Range].[Deductions (₹)].[All]" allUniqueName="[Range].[Deductions (₹)].[All]" dimensionUniqueName="[Range]" displayFolder="" count="2" memberValueDatatype="20" unbalanced="0"/>
    <cacheHierarchy uniqueName="[Range].[Net Salary (₹)]" caption="Net Salary (₹)" attribute="1" defaultMemberUniqueName="[Range].[Net Salary (₹)].[All]" allUniqueName="[Range].[Net Salary (₹)].[All]" dimensionUniqueName="[Range]" displayFolder="" count="2" memberValueDatatype="20" unbalanced="0"/>
    <cacheHierarchy uniqueName="[Range].[Attendance Days (Cleaned)]" caption="Attendance Days (Cleaned)" attribute="1" defaultMemberUniqueName="[Range].[Attendance Days (Cleaned)].[All]" allUniqueName="[Range].[Attendance Days (Cleaned)].[All]" dimensionUniqueName="[Range]" displayFolder="" count="2" memberValueDatatype="20" unbalanced="0">
      <fieldsUsage count="2">
        <fieldUsage x="-1"/>
        <fieldUsage x="1"/>
      </fieldsUsage>
    </cacheHierarchy>
    <cacheHierarchy uniqueName="[Range].[Performance Score (%)]" caption="Performance Score (%)" attribute="1" defaultMemberUniqueName="[Range].[Performance Score (%)].[All]" allUniqueName="[Range].[Performance Score (%)].[All]" dimensionUniqueName="[Range]" displayFolder="" count="2" memberValueDatatype="20" unbalanced="0"/>
    <cacheHierarchy uniqueName="[Range].[Performance Rating]" caption="Performance Rating" attribute="1" defaultMemberUniqueName="[Range].[Performance Rating].[All]" allUniqueName="[Range].[Performance Rating].[All]" dimensionUniqueName="[Range]" displayFolder="" count="2" memberValueDatatype="130" unbalanced="0">
      <fieldsUsage count="2">
        <fieldUsage x="-1"/>
        <fieldUsage x="2"/>
      </fieldsUsage>
    </cacheHierarchy>
    <cacheHierarchy uniqueName="[Range].[Employment Status]" caption="Employment Status" attribute="1" defaultMemberUniqueName="[Range].[Employment Status].[All]" allUniqueName="[Range].[Employment Status].[All]" dimensionUniqueName="[Range]" displayFolder="" count="2"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Net Salary (₹)]" caption="Sum of Net Salary (₹)" measure="1" displayFolder="" measureGroup="Range" count="0" hidden="1">
      <extLst>
        <ext xmlns:x15="http://schemas.microsoft.com/office/spreadsheetml/2010/11/main" uri="{B97F6D7D-B522-45F9-BDA1-12C45D357490}">
          <x15:cacheHierarchy aggregatedColumn="13"/>
        </ext>
      </extLst>
    </cacheHierarchy>
    <cacheHierarchy uniqueName="[Measures].[Sum of Performance Score (%)]" caption="Sum of Performance Score (%)" measure="1" displayFolder="" measureGroup="Range" count="0" hidden="1">
      <extLst>
        <ext xmlns:x15="http://schemas.microsoft.com/office/spreadsheetml/2010/11/main" uri="{B97F6D7D-B522-45F9-BDA1-12C45D357490}">
          <x15:cacheHierarchy aggregatedColumn="15"/>
        </ext>
      </extLst>
    </cacheHierarchy>
    <cacheHierarchy uniqueName="[Measures].[Sum of Overtime (₹)]" caption="Sum of Overtime (₹)" measure="1" displayFolder="" measureGroup="Range" count="0" hidden="1">
      <extLst>
        <ext xmlns:x15="http://schemas.microsoft.com/office/spreadsheetml/2010/11/main" uri="{B97F6D7D-B522-45F9-BDA1-12C45D357490}">
          <x15:cacheHierarchy aggregatedColumn="11"/>
        </ext>
      </extLst>
    </cacheHierarchy>
    <cacheHierarchy uniqueName="[Measures].[Sum of Allowances (₹)]" caption="Sum of Allowances (₹)" measure="1" displayFolder="" measureGroup="Range" count="0" hidden="1">
      <extLst>
        <ext xmlns:x15="http://schemas.microsoft.com/office/spreadsheetml/2010/11/main" uri="{B97F6D7D-B522-45F9-BDA1-12C45D357490}">
          <x15:cacheHierarchy aggregatedColumn="10"/>
        </ext>
      </extLst>
    </cacheHierarchy>
    <cacheHierarchy uniqueName="[Measures].[Count of Performance Rating]" caption="Count of Performance Rating" measure="1" displayFolder="" measureGroup="Range" count="0" hidden="1">
      <extLst>
        <ext xmlns:x15="http://schemas.microsoft.com/office/spreadsheetml/2010/11/main" uri="{B97F6D7D-B522-45F9-BDA1-12C45D357490}">
          <x15:cacheHierarchy aggregatedColumn="16"/>
        </ext>
      </extLst>
    </cacheHierarchy>
    <cacheHierarchy uniqueName="[Measures].[Count of Employee ID]" caption="Count of Employee ID" measure="1" displayFolder="" measureGroup="Range" count="0" hidden="1">
      <extLst>
        <ext xmlns:x15="http://schemas.microsoft.com/office/spreadsheetml/2010/11/main" uri="{B97F6D7D-B522-45F9-BDA1-12C45D357490}">
          <x15:cacheHierarchy aggregatedColumn="0"/>
        </ext>
      </extLst>
    </cacheHierarchy>
    <cacheHierarchy uniqueName="[Measures].[Sum of Attendance Days (Cleaned)]" caption="Sum of Attendance Days (Cleaned)" measure="1" displayFolder="" measureGroup="Range" count="0" oneField="1" hidden="1">
      <fieldsUsage count="1">
        <fieldUsage x="4"/>
      </fieldsUsage>
      <extLst>
        <ext xmlns:x15="http://schemas.microsoft.com/office/spreadsheetml/2010/11/main" uri="{B97F6D7D-B522-45F9-BDA1-12C45D357490}">
          <x15:cacheHierarchy aggregatedColumn="14"/>
        </ext>
      </extLst>
    </cacheHierarchy>
    <cacheHierarchy uniqueName="[Measures].[Count of Gender (Cleaned)]" caption="Count of Gender (Cleaned)" measure="1" displayFolder="" measureGroup="Range"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pivotCacheId="76393196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nik jana" refreshedDate="46171.180576736115" backgroundQuery="1" createdVersion="8" refreshedVersion="8" minRefreshableVersion="3" recordCount="0" supportSubquery="1" supportAdvancedDrill="1" xr:uid="{4B68D4FF-4B09-4BC4-9EA8-874E24EBD013}">
  <cacheSource type="external" connectionId="1">
    <extLst>
      <ext xmlns:x14="http://schemas.microsoft.com/office/spreadsheetml/2009/9/main" uri="{F057638F-6D5F-4e77-A914-E7F072B9BCA8}">
        <x14:sourceConnection name="ThisWorkbookDataModel"/>
      </ext>
    </extLst>
  </cacheSource>
  <cacheFields count="6">
    <cacheField name="[Range].[Designation].[Designation]" caption="Designation" numFmtId="0" hierarchy="5" level="1">
      <sharedItems containsSemiMixedTypes="0" containsNonDate="0" containsString="0"/>
    </cacheField>
    <cacheField name="[Range].[Attendance Days (Cleaned)].[Attendance Days (Cleaned)]" caption="Attendance Days (Cleaned)" numFmtId="0" hierarchy="14" level="1">
      <sharedItems containsSemiMixedTypes="0" containsString="0" containsNumber="1" containsInteger="1" minValue="25" maxValue="25" count="1">
        <n v="25"/>
      </sharedItems>
      <extLst>
        <ext xmlns:x15="http://schemas.microsoft.com/office/spreadsheetml/2010/11/main" uri="{4F2E5C28-24EA-4eb8-9CBF-B6C8F9C3D259}">
          <x15:cachedUniqueNames>
            <x15:cachedUniqueName index="0" name="[Range].[Attendance Days (Cleaned)].&amp;[25]"/>
          </x15:cachedUniqueNames>
        </ext>
      </extLst>
    </cacheField>
    <cacheField name="[Range].[Performance Rating].[Performance Rating]" caption="Performance Rating" numFmtId="0" hierarchy="16" level="1">
      <sharedItems count="1">
        <s v="Below Average"/>
      </sharedItems>
    </cacheField>
    <cacheField name="[Range].[City (Cleaned)].[City (Cleaned)]" caption="City (Cleaned)" numFmtId="0" hierarchy="7" level="1">
      <sharedItems containsSemiMixedTypes="0" containsNonDate="0" containsString="0"/>
    </cacheField>
    <cacheField name="[Measures].[Sum of Attendance Days (Cleaned)]" caption="Sum of Attendance Days (Cleaned)" numFmtId="0" hierarchy="26" level="32767"/>
    <cacheField name="[Range].[Department (Cleaned)].[Department (Cleaned)]" caption="Department (Cleaned)" numFmtId="0" hierarchy="4" level="1">
      <sharedItems count="6">
        <s v="ENGINEERING"/>
        <s v="FINANCE"/>
        <s v="HR"/>
        <s v="MARKETING"/>
        <s v="OPERATIONS"/>
        <s v="SALES"/>
      </sharedItems>
    </cacheField>
  </cacheFields>
  <cacheHierarchies count="28">
    <cacheHierarchy uniqueName="[Range].[Employee ID]" caption="Employee ID" attribute="1" defaultMemberUniqueName="[Range].[Employee ID].[All]" allUniqueName="[Range].[Employee ID].[All]" dimensionUniqueName="[Range]" displayFolder="" count="2" memberValueDatatype="130" unbalanced="0"/>
    <cacheHierarchy uniqueName="[Range].[Employee Name (Cleaned)]" caption="Employee Name (Cleaned)" attribute="1" defaultMemberUniqueName="[Range].[Employee Name (Cleaned)].[All]" allUniqueName="[Range].[Employee Name (Cleaned)].[All]" dimensionUniqueName="[Range]" displayFolder="" count="2" memberValueDatatype="130" unbalanced="0"/>
    <cacheHierarchy uniqueName="[Range].[Age]" caption="Age" attribute="1" defaultMemberUniqueName="[Range].[Age].[All]" allUniqueName="[Range].[Age].[All]" dimensionUniqueName="[Range]" displayFolder="" count="2" memberValueDatatype="20" unbalanced="0"/>
    <cacheHierarchy uniqueName="[Range].[Gender (Cleaned)]" caption="Gender (Cleaned)" attribute="1" defaultMemberUniqueName="[Range].[Gender (Cleaned)].[All]" allUniqueName="[Range].[Gender (Cleaned)].[All]" dimensionUniqueName="[Range]" displayFolder="" count="2" memberValueDatatype="130" unbalanced="0"/>
    <cacheHierarchy uniqueName="[Range].[Department (Cleaned)]" caption="Department (Cleaned)" attribute="1" defaultMemberUniqueName="[Range].[Department (Cleaned)].[All]" allUniqueName="[Range].[Department (Cleaned)].[All]" dimensionUniqueName="[Range]" displayFolder="" count="2" memberValueDatatype="130" unbalanced="0">
      <fieldsUsage count="2">
        <fieldUsage x="-1"/>
        <fieldUsage x="5"/>
      </fieldsUsage>
    </cacheHierarchy>
    <cacheHierarchy uniqueName="[Range].[Designation]" caption="Designation" attribute="1" defaultMemberUniqueName="[Range].[Designation].[All]" allUniqueName="[Range].[Designation].[All]" dimensionUniqueName="[Range]" displayFolder="" count="2" memberValueDatatype="130" unbalanced="0">
      <fieldsUsage count="2">
        <fieldUsage x="-1"/>
        <fieldUsage x="0"/>
      </fieldsUsage>
    </cacheHierarchy>
    <cacheHierarchy uniqueName="[Range].[Date of Joining (Cleaned)]" caption="Date of Joining (Cleaned)" attribute="1" defaultMemberUniqueName="[Range].[Date of Joining (Cleaned)].[All]" allUniqueName="[Range].[Date of Joining (Cleaned)].[All]" dimensionUniqueName="[Range]" displayFolder="" count="2" memberValueDatatype="130" unbalanced="0"/>
    <cacheHierarchy uniqueName="[Range].[City (Cleaned)]" caption="City (Cleaned)" attribute="1" defaultMemberUniqueName="[Range].[City (Cleaned)].[All]" allUniqueName="[Range].[City (Cleaned)].[All]" dimensionUniqueName="[Range]" displayFolder="" count="2" memberValueDatatype="130" unbalanced="0">
      <fieldsUsage count="2">
        <fieldUsage x="-1"/>
        <fieldUsage x="3"/>
      </fieldsUsage>
    </cacheHierarchy>
    <cacheHierarchy uniqueName="[Range].[Basic Salary (₹)]" caption="Basic Salary (₹)" attribute="1" defaultMemberUniqueName="[Range].[Basic Salary (₹)].[All]" allUniqueName="[Range].[Basic Salary (₹)].[All]" dimensionUniqueName="[Range]" displayFolder="" count="2" memberValueDatatype="20" unbalanced="0"/>
    <cacheHierarchy uniqueName="[Range].[HRA (₹)]" caption="HRA (₹)" attribute="1" defaultMemberUniqueName="[Range].[HRA (₹)].[All]" allUniqueName="[Range].[HRA (₹)].[All]" dimensionUniqueName="[Range]" displayFolder="" count="2" memberValueDatatype="20" unbalanced="0"/>
    <cacheHierarchy uniqueName="[Range].[Allowances (₹)]" caption="Allowances (₹)" attribute="1" defaultMemberUniqueName="[Range].[Allowances (₹)].[All]" allUniqueName="[Range].[Allowances (₹)].[All]" dimensionUniqueName="[Range]" displayFolder="" count="2" memberValueDatatype="20" unbalanced="0"/>
    <cacheHierarchy uniqueName="[Range].[Overtime (₹)]" caption="Overtime (₹)" attribute="1" defaultMemberUniqueName="[Range].[Overtime (₹)].[All]" allUniqueName="[Range].[Overtime (₹)].[All]" dimensionUniqueName="[Range]" displayFolder="" count="2" memberValueDatatype="20" unbalanced="0"/>
    <cacheHierarchy uniqueName="[Range].[Deductions (₹)]" caption="Deductions (₹)" attribute="1" defaultMemberUniqueName="[Range].[Deductions (₹)].[All]" allUniqueName="[Range].[Deductions (₹)].[All]" dimensionUniqueName="[Range]" displayFolder="" count="2" memberValueDatatype="20" unbalanced="0"/>
    <cacheHierarchy uniqueName="[Range].[Net Salary (₹)]" caption="Net Salary (₹)" attribute="1" defaultMemberUniqueName="[Range].[Net Salary (₹)].[All]" allUniqueName="[Range].[Net Salary (₹)].[All]" dimensionUniqueName="[Range]" displayFolder="" count="2" memberValueDatatype="20" unbalanced="0"/>
    <cacheHierarchy uniqueName="[Range].[Attendance Days (Cleaned)]" caption="Attendance Days (Cleaned)" attribute="1" defaultMemberUniqueName="[Range].[Attendance Days (Cleaned)].[All]" allUniqueName="[Range].[Attendance Days (Cleaned)].[All]" dimensionUniqueName="[Range]" displayFolder="" count="2" memberValueDatatype="20" unbalanced="0">
      <fieldsUsage count="2">
        <fieldUsage x="-1"/>
        <fieldUsage x="1"/>
      </fieldsUsage>
    </cacheHierarchy>
    <cacheHierarchy uniqueName="[Range].[Performance Score (%)]" caption="Performance Score (%)" attribute="1" defaultMemberUniqueName="[Range].[Performance Score (%)].[All]" allUniqueName="[Range].[Performance Score (%)].[All]" dimensionUniqueName="[Range]" displayFolder="" count="2" memberValueDatatype="20" unbalanced="0"/>
    <cacheHierarchy uniqueName="[Range].[Performance Rating]" caption="Performance Rating" attribute="1" defaultMemberUniqueName="[Range].[Performance Rating].[All]" allUniqueName="[Range].[Performance Rating].[All]" dimensionUniqueName="[Range]" displayFolder="" count="2" memberValueDatatype="130" unbalanced="0">
      <fieldsUsage count="2">
        <fieldUsage x="-1"/>
        <fieldUsage x="2"/>
      </fieldsUsage>
    </cacheHierarchy>
    <cacheHierarchy uniqueName="[Range].[Employment Status]" caption="Employment Status" attribute="1" defaultMemberUniqueName="[Range].[Employment Status].[All]" allUniqueName="[Range].[Employment Status].[All]" dimensionUniqueName="[Range]" displayFolder="" count="2"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Net Salary (₹)]" caption="Sum of Net Salary (₹)" measure="1" displayFolder="" measureGroup="Range" count="0" hidden="1">
      <extLst>
        <ext xmlns:x15="http://schemas.microsoft.com/office/spreadsheetml/2010/11/main" uri="{B97F6D7D-B522-45F9-BDA1-12C45D357490}">
          <x15:cacheHierarchy aggregatedColumn="13"/>
        </ext>
      </extLst>
    </cacheHierarchy>
    <cacheHierarchy uniqueName="[Measures].[Sum of Performance Score (%)]" caption="Sum of Performance Score (%)" measure="1" displayFolder="" measureGroup="Range" count="0" hidden="1">
      <extLst>
        <ext xmlns:x15="http://schemas.microsoft.com/office/spreadsheetml/2010/11/main" uri="{B97F6D7D-B522-45F9-BDA1-12C45D357490}">
          <x15:cacheHierarchy aggregatedColumn="15"/>
        </ext>
      </extLst>
    </cacheHierarchy>
    <cacheHierarchy uniqueName="[Measures].[Sum of Overtime (₹)]" caption="Sum of Overtime (₹)" measure="1" displayFolder="" measureGroup="Range" count="0" hidden="1">
      <extLst>
        <ext xmlns:x15="http://schemas.microsoft.com/office/spreadsheetml/2010/11/main" uri="{B97F6D7D-B522-45F9-BDA1-12C45D357490}">
          <x15:cacheHierarchy aggregatedColumn="11"/>
        </ext>
      </extLst>
    </cacheHierarchy>
    <cacheHierarchy uniqueName="[Measures].[Sum of Allowances (₹)]" caption="Sum of Allowances (₹)" measure="1" displayFolder="" measureGroup="Range" count="0" hidden="1">
      <extLst>
        <ext xmlns:x15="http://schemas.microsoft.com/office/spreadsheetml/2010/11/main" uri="{B97F6D7D-B522-45F9-BDA1-12C45D357490}">
          <x15:cacheHierarchy aggregatedColumn="10"/>
        </ext>
      </extLst>
    </cacheHierarchy>
    <cacheHierarchy uniqueName="[Measures].[Count of Performance Rating]" caption="Count of Performance Rating" measure="1" displayFolder="" measureGroup="Range" count="0" hidden="1">
      <extLst>
        <ext xmlns:x15="http://schemas.microsoft.com/office/spreadsheetml/2010/11/main" uri="{B97F6D7D-B522-45F9-BDA1-12C45D357490}">
          <x15:cacheHierarchy aggregatedColumn="16"/>
        </ext>
      </extLst>
    </cacheHierarchy>
    <cacheHierarchy uniqueName="[Measures].[Count of Employee ID]" caption="Count of Employee ID" measure="1" displayFolder="" measureGroup="Range" count="0" hidden="1">
      <extLst>
        <ext xmlns:x15="http://schemas.microsoft.com/office/spreadsheetml/2010/11/main" uri="{B97F6D7D-B522-45F9-BDA1-12C45D357490}">
          <x15:cacheHierarchy aggregatedColumn="0"/>
        </ext>
      </extLst>
    </cacheHierarchy>
    <cacheHierarchy uniqueName="[Measures].[Sum of Attendance Days (Cleaned)]" caption="Sum of Attendance Days (Cleaned)" measure="1" displayFolder="" measureGroup="Range" count="0" oneField="1" hidden="1">
      <fieldsUsage count="1">
        <fieldUsage x="4"/>
      </fieldsUsage>
      <extLst>
        <ext xmlns:x15="http://schemas.microsoft.com/office/spreadsheetml/2010/11/main" uri="{B97F6D7D-B522-45F9-BDA1-12C45D357490}">
          <x15:cacheHierarchy aggregatedColumn="14"/>
        </ext>
      </extLst>
    </cacheHierarchy>
    <cacheHierarchy uniqueName="[Measures].[Count of Gender (Cleaned)]" caption="Count of Gender (Cleaned)" measure="1" displayFolder="" measureGroup="Range"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pivotCacheId="680905307"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nik jana" refreshedDate="46171.180594097219" backgroundQuery="1" createdVersion="8" refreshedVersion="8" minRefreshableVersion="3" recordCount="0" supportSubquery="1" supportAdvancedDrill="1" xr:uid="{17B44B41-4AC6-414B-AF2C-241DD4117756}">
  <cacheSource type="external" connectionId="1">
    <extLst>
      <ext xmlns:x14="http://schemas.microsoft.com/office/spreadsheetml/2009/9/main" uri="{F057638F-6D5F-4e77-A914-E7F072B9BCA8}">
        <x14:sourceConnection name="ThisWorkbookDataModel"/>
      </ext>
    </extLst>
  </cacheSource>
  <cacheFields count="3">
    <cacheField name="[Measures].[Count of Employee ID]" caption="Count of Employee ID" numFmtId="0" hierarchy="25" level="32767"/>
    <cacheField name="[Range].[Performance Rating].[Performance Rating]" caption="Performance Rating" numFmtId="0" hierarchy="16" level="1">
      <sharedItems count="5">
        <s v="Average"/>
        <s v="Below Average"/>
        <s v="Excellent"/>
        <s v="Good"/>
        <s v="Poor"/>
      </sharedItems>
    </cacheField>
    <cacheField name="[Range].[Department (Cleaned)].[Department (Cleaned)]" caption="Department (Cleaned)" numFmtId="0" hierarchy="4" level="1">
      <sharedItems containsSemiMixedTypes="0" containsNonDate="0" containsString="0"/>
    </cacheField>
  </cacheFields>
  <cacheHierarchies count="28">
    <cacheHierarchy uniqueName="[Range].[Employee ID]" caption="Employee ID" attribute="1" defaultMemberUniqueName="[Range].[Employee ID].[All]" allUniqueName="[Range].[Employee ID].[All]" dimensionUniqueName="[Range]" displayFolder="" count="2" memberValueDatatype="130" unbalanced="0"/>
    <cacheHierarchy uniqueName="[Range].[Employee Name (Cleaned)]" caption="Employee Name (Cleaned)" attribute="1" defaultMemberUniqueName="[Range].[Employee Name (Cleaned)].[All]" allUniqueName="[Range].[Employee Name (Cleaned)].[All]" dimensionUniqueName="[Range]" displayFolder="" count="2" memberValueDatatype="130" unbalanced="0"/>
    <cacheHierarchy uniqueName="[Range].[Age]" caption="Age" attribute="1" defaultMemberUniqueName="[Range].[Age].[All]" allUniqueName="[Range].[Age].[All]" dimensionUniqueName="[Range]" displayFolder="" count="2" memberValueDatatype="20" unbalanced="0"/>
    <cacheHierarchy uniqueName="[Range].[Gender (Cleaned)]" caption="Gender (Cleaned)" attribute="1" defaultMemberUniqueName="[Range].[Gender (Cleaned)].[All]" allUniqueName="[Range].[Gender (Cleaned)].[All]" dimensionUniqueName="[Range]" displayFolder="" count="2" memberValueDatatype="130" unbalanced="0"/>
    <cacheHierarchy uniqueName="[Range].[Department (Cleaned)]" caption="Department (Cleaned)" attribute="1" defaultMemberUniqueName="[Range].[Department (Cleaned)].[All]" allUniqueName="[Range].[Department (Cleaned)].[All]" dimensionUniqueName="[Range]" displayFolder="" count="2" memberValueDatatype="130" unbalanced="0">
      <fieldsUsage count="2">
        <fieldUsage x="-1"/>
        <fieldUsage x="2"/>
      </fieldsUsage>
    </cacheHierarchy>
    <cacheHierarchy uniqueName="[Range].[Designation]" caption="Designation" attribute="1" defaultMemberUniqueName="[Range].[Designation].[All]" allUniqueName="[Range].[Designation].[All]" dimensionUniqueName="[Range]" displayFolder="" count="2" memberValueDatatype="130" unbalanced="0"/>
    <cacheHierarchy uniqueName="[Range].[Date of Joining (Cleaned)]" caption="Date of Joining (Cleaned)" attribute="1" defaultMemberUniqueName="[Range].[Date of Joining (Cleaned)].[All]" allUniqueName="[Range].[Date of Joining (Cleaned)].[All]" dimensionUniqueName="[Range]" displayFolder="" count="2" memberValueDatatype="130" unbalanced="0"/>
    <cacheHierarchy uniqueName="[Range].[City (Cleaned)]" caption="City (Cleaned)" attribute="1" defaultMemberUniqueName="[Range].[City (Cleaned)].[All]" allUniqueName="[Range].[City (Cleaned)].[All]" dimensionUniqueName="[Range]" displayFolder="" count="2" memberValueDatatype="130" unbalanced="0"/>
    <cacheHierarchy uniqueName="[Range].[Basic Salary (₹)]" caption="Basic Salary (₹)" attribute="1" defaultMemberUniqueName="[Range].[Basic Salary (₹)].[All]" allUniqueName="[Range].[Basic Salary (₹)].[All]" dimensionUniqueName="[Range]" displayFolder="" count="2" memberValueDatatype="20" unbalanced="0"/>
    <cacheHierarchy uniqueName="[Range].[HRA (₹)]" caption="HRA (₹)" attribute="1" defaultMemberUniqueName="[Range].[HRA (₹)].[All]" allUniqueName="[Range].[HRA (₹)].[All]" dimensionUniqueName="[Range]" displayFolder="" count="2" memberValueDatatype="20" unbalanced="0"/>
    <cacheHierarchy uniqueName="[Range].[Allowances (₹)]" caption="Allowances (₹)" attribute="1" defaultMemberUniqueName="[Range].[Allowances (₹)].[All]" allUniqueName="[Range].[Allowances (₹)].[All]" dimensionUniqueName="[Range]" displayFolder="" count="2" memberValueDatatype="20" unbalanced="0"/>
    <cacheHierarchy uniqueName="[Range].[Overtime (₹)]" caption="Overtime (₹)" attribute="1" defaultMemberUniqueName="[Range].[Overtime (₹)].[All]" allUniqueName="[Range].[Overtime (₹)].[All]" dimensionUniqueName="[Range]" displayFolder="" count="2" memberValueDatatype="20" unbalanced="0"/>
    <cacheHierarchy uniqueName="[Range].[Deductions (₹)]" caption="Deductions (₹)" attribute="1" defaultMemberUniqueName="[Range].[Deductions (₹)].[All]" allUniqueName="[Range].[Deductions (₹)].[All]" dimensionUniqueName="[Range]" displayFolder="" count="2" memberValueDatatype="20" unbalanced="0"/>
    <cacheHierarchy uniqueName="[Range].[Net Salary (₹)]" caption="Net Salary (₹)" attribute="1" defaultMemberUniqueName="[Range].[Net Salary (₹)].[All]" allUniqueName="[Range].[Net Salary (₹)].[All]" dimensionUniqueName="[Range]" displayFolder="" count="2" memberValueDatatype="20" unbalanced="0"/>
    <cacheHierarchy uniqueName="[Range].[Attendance Days (Cleaned)]" caption="Attendance Days (Cleaned)" attribute="1" defaultMemberUniqueName="[Range].[Attendance Days (Cleaned)].[All]" allUniqueName="[Range].[Attendance Days (Cleaned)].[All]" dimensionUniqueName="[Range]" displayFolder="" count="2" memberValueDatatype="20" unbalanced="0"/>
    <cacheHierarchy uniqueName="[Range].[Performance Score (%)]" caption="Performance Score (%)" attribute="1" defaultMemberUniqueName="[Range].[Performance Score (%)].[All]" allUniqueName="[Range].[Performance Score (%)].[All]" dimensionUniqueName="[Range]" displayFolder="" count="2" memberValueDatatype="20" unbalanced="0"/>
    <cacheHierarchy uniqueName="[Range].[Performance Rating]" caption="Performance Rating" attribute="1" defaultMemberUniqueName="[Range].[Performance Rating].[All]" allUniqueName="[Range].[Performance Rating].[All]" dimensionUniqueName="[Range]" displayFolder="" count="2" memberValueDatatype="130" unbalanced="0">
      <fieldsUsage count="2">
        <fieldUsage x="-1"/>
        <fieldUsage x="1"/>
      </fieldsUsage>
    </cacheHierarchy>
    <cacheHierarchy uniqueName="[Range].[Employment Status]" caption="Employment Status" attribute="1" defaultMemberUniqueName="[Range].[Employment Status].[All]" allUniqueName="[Range].[Employment Status].[All]" dimensionUniqueName="[Range]" displayFolder="" count="2"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Net Salary (₹)]" caption="Sum of Net Salary (₹)" measure="1" displayFolder="" measureGroup="Range" count="0" hidden="1">
      <extLst>
        <ext xmlns:x15="http://schemas.microsoft.com/office/spreadsheetml/2010/11/main" uri="{B97F6D7D-B522-45F9-BDA1-12C45D357490}">
          <x15:cacheHierarchy aggregatedColumn="13"/>
        </ext>
      </extLst>
    </cacheHierarchy>
    <cacheHierarchy uniqueName="[Measures].[Sum of Performance Score (%)]" caption="Sum of Performance Score (%)" measure="1" displayFolder="" measureGroup="Range" count="0" hidden="1">
      <extLst>
        <ext xmlns:x15="http://schemas.microsoft.com/office/spreadsheetml/2010/11/main" uri="{B97F6D7D-B522-45F9-BDA1-12C45D357490}">
          <x15:cacheHierarchy aggregatedColumn="15"/>
        </ext>
      </extLst>
    </cacheHierarchy>
    <cacheHierarchy uniqueName="[Measures].[Sum of Overtime (₹)]" caption="Sum of Overtime (₹)" measure="1" displayFolder="" measureGroup="Range" count="0" hidden="1">
      <extLst>
        <ext xmlns:x15="http://schemas.microsoft.com/office/spreadsheetml/2010/11/main" uri="{B97F6D7D-B522-45F9-BDA1-12C45D357490}">
          <x15:cacheHierarchy aggregatedColumn="11"/>
        </ext>
      </extLst>
    </cacheHierarchy>
    <cacheHierarchy uniqueName="[Measures].[Sum of Allowances (₹)]" caption="Sum of Allowances (₹)" measure="1" displayFolder="" measureGroup="Range" count="0" hidden="1">
      <extLst>
        <ext xmlns:x15="http://schemas.microsoft.com/office/spreadsheetml/2010/11/main" uri="{B97F6D7D-B522-45F9-BDA1-12C45D357490}">
          <x15:cacheHierarchy aggregatedColumn="10"/>
        </ext>
      </extLst>
    </cacheHierarchy>
    <cacheHierarchy uniqueName="[Measures].[Count of Performance Rating]" caption="Count of Performance Rating" measure="1" displayFolder="" measureGroup="Range" count="0" hidden="1">
      <extLst>
        <ext xmlns:x15="http://schemas.microsoft.com/office/spreadsheetml/2010/11/main" uri="{B97F6D7D-B522-45F9-BDA1-12C45D357490}">
          <x15:cacheHierarchy aggregatedColumn="16"/>
        </ext>
      </extLst>
    </cacheHierarchy>
    <cacheHierarchy uniqueName="[Measures].[Count of Employee ID]" caption="Count of Employee ID" measure="1" displayFolder="" measureGroup="Range" count="0" oneField="1" hidden="1">
      <fieldsUsage count="1">
        <fieldUsage x="0"/>
      </fieldsUsage>
      <extLst>
        <ext xmlns:x15="http://schemas.microsoft.com/office/spreadsheetml/2010/11/main" uri="{B97F6D7D-B522-45F9-BDA1-12C45D357490}">
          <x15:cacheHierarchy aggregatedColumn="0"/>
        </ext>
      </extLst>
    </cacheHierarchy>
    <cacheHierarchy uniqueName="[Measures].[Sum of Attendance Days (Cleaned)]" caption="Sum of Attendance Days (Cleaned)" measure="1" displayFolder="" measureGroup="Range" count="0" hidden="1">
      <extLst>
        <ext xmlns:x15="http://schemas.microsoft.com/office/spreadsheetml/2010/11/main" uri="{B97F6D7D-B522-45F9-BDA1-12C45D357490}">
          <x15:cacheHierarchy aggregatedColumn="14"/>
        </ext>
      </extLst>
    </cacheHierarchy>
    <cacheHierarchy uniqueName="[Measures].[Count of Gender (Cleaned)]" caption="Count of Gender (Cleaned)" measure="1" displayFolder="" measureGroup="Range"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pivotCacheId="40494682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nik jana" refreshedDate="46171.180594328704" backgroundQuery="1" createdVersion="8" refreshedVersion="8" minRefreshableVersion="3" recordCount="0" supportSubquery="1" supportAdvancedDrill="1" xr:uid="{12CD9C66-AA7D-4F03-A99A-72795CAD7F78}">
  <cacheSource type="external" connectionId="1">
    <extLst>
      <ext xmlns:x14="http://schemas.microsoft.com/office/spreadsheetml/2009/9/main" uri="{F057638F-6D5F-4e77-A914-E7F072B9BCA8}">
        <x14:sourceConnection name="ThisWorkbookDataModel"/>
      </ext>
    </extLst>
  </cacheSource>
  <cacheFields count="3">
    <cacheField name="[Measures].[Count of Employee ID]" caption="Count of Employee ID" numFmtId="0" hierarchy="25" level="32767"/>
    <cacheField name="[Range].[Performance Rating].[Performance Rating]" caption="Performance Rating" numFmtId="0" hierarchy="16" level="1">
      <sharedItems count="5">
        <s v="Average"/>
        <s v="Below Average"/>
        <s v="Excellent"/>
        <s v="Good"/>
        <s v="Poor"/>
      </sharedItems>
    </cacheField>
    <cacheField name="[Range].[Department (Cleaned)].[Department (Cleaned)]" caption="Department (Cleaned)" numFmtId="0" hierarchy="4" level="1">
      <sharedItems containsSemiMixedTypes="0" containsNonDate="0" containsString="0"/>
    </cacheField>
  </cacheFields>
  <cacheHierarchies count="28">
    <cacheHierarchy uniqueName="[Range].[Employee ID]" caption="Employee ID" attribute="1" defaultMemberUniqueName="[Range].[Employee ID].[All]" allUniqueName="[Range].[Employee ID].[All]" dimensionUniqueName="[Range]" displayFolder="" count="2" memberValueDatatype="130" unbalanced="0"/>
    <cacheHierarchy uniqueName="[Range].[Employee Name (Cleaned)]" caption="Employee Name (Cleaned)" attribute="1" defaultMemberUniqueName="[Range].[Employee Name (Cleaned)].[All]" allUniqueName="[Range].[Employee Name (Cleaned)].[All]" dimensionUniqueName="[Range]" displayFolder="" count="2" memberValueDatatype="130" unbalanced="0"/>
    <cacheHierarchy uniqueName="[Range].[Age]" caption="Age" attribute="1" defaultMemberUniqueName="[Range].[Age].[All]" allUniqueName="[Range].[Age].[All]" dimensionUniqueName="[Range]" displayFolder="" count="2" memberValueDatatype="20" unbalanced="0"/>
    <cacheHierarchy uniqueName="[Range].[Gender (Cleaned)]" caption="Gender (Cleaned)" attribute="1" defaultMemberUniqueName="[Range].[Gender (Cleaned)].[All]" allUniqueName="[Range].[Gender (Cleaned)].[All]" dimensionUniqueName="[Range]" displayFolder="" count="2" memberValueDatatype="130" unbalanced="0"/>
    <cacheHierarchy uniqueName="[Range].[Department (Cleaned)]" caption="Department (Cleaned)" attribute="1" defaultMemberUniqueName="[Range].[Department (Cleaned)].[All]" allUniqueName="[Range].[Department (Cleaned)].[All]" dimensionUniqueName="[Range]" displayFolder="" count="2" memberValueDatatype="130" unbalanced="0">
      <fieldsUsage count="2">
        <fieldUsage x="-1"/>
        <fieldUsage x="2"/>
      </fieldsUsage>
    </cacheHierarchy>
    <cacheHierarchy uniqueName="[Range].[Designation]" caption="Designation" attribute="1" defaultMemberUniqueName="[Range].[Designation].[All]" allUniqueName="[Range].[Designation].[All]" dimensionUniqueName="[Range]" displayFolder="" count="2" memberValueDatatype="130" unbalanced="0"/>
    <cacheHierarchy uniqueName="[Range].[Date of Joining (Cleaned)]" caption="Date of Joining (Cleaned)" attribute="1" defaultMemberUniqueName="[Range].[Date of Joining (Cleaned)].[All]" allUniqueName="[Range].[Date of Joining (Cleaned)].[All]" dimensionUniqueName="[Range]" displayFolder="" count="2" memberValueDatatype="130" unbalanced="0"/>
    <cacheHierarchy uniqueName="[Range].[City (Cleaned)]" caption="City (Cleaned)" attribute="1" defaultMemberUniqueName="[Range].[City (Cleaned)].[All]" allUniqueName="[Range].[City (Cleaned)].[All]" dimensionUniqueName="[Range]" displayFolder="" count="2" memberValueDatatype="130" unbalanced="0"/>
    <cacheHierarchy uniqueName="[Range].[Basic Salary (₹)]" caption="Basic Salary (₹)" attribute="1" defaultMemberUniqueName="[Range].[Basic Salary (₹)].[All]" allUniqueName="[Range].[Basic Salary (₹)].[All]" dimensionUniqueName="[Range]" displayFolder="" count="2" memberValueDatatype="20" unbalanced="0"/>
    <cacheHierarchy uniqueName="[Range].[HRA (₹)]" caption="HRA (₹)" attribute="1" defaultMemberUniqueName="[Range].[HRA (₹)].[All]" allUniqueName="[Range].[HRA (₹)].[All]" dimensionUniqueName="[Range]" displayFolder="" count="2" memberValueDatatype="20" unbalanced="0"/>
    <cacheHierarchy uniqueName="[Range].[Allowances (₹)]" caption="Allowances (₹)" attribute="1" defaultMemberUniqueName="[Range].[Allowances (₹)].[All]" allUniqueName="[Range].[Allowances (₹)].[All]" dimensionUniqueName="[Range]" displayFolder="" count="2" memberValueDatatype="20" unbalanced="0"/>
    <cacheHierarchy uniqueName="[Range].[Overtime (₹)]" caption="Overtime (₹)" attribute="1" defaultMemberUniqueName="[Range].[Overtime (₹)].[All]" allUniqueName="[Range].[Overtime (₹)].[All]" dimensionUniqueName="[Range]" displayFolder="" count="2" memberValueDatatype="20" unbalanced="0"/>
    <cacheHierarchy uniqueName="[Range].[Deductions (₹)]" caption="Deductions (₹)" attribute="1" defaultMemberUniqueName="[Range].[Deductions (₹)].[All]" allUniqueName="[Range].[Deductions (₹)].[All]" dimensionUniqueName="[Range]" displayFolder="" count="2" memberValueDatatype="20" unbalanced="0"/>
    <cacheHierarchy uniqueName="[Range].[Net Salary (₹)]" caption="Net Salary (₹)" attribute="1" defaultMemberUniqueName="[Range].[Net Salary (₹)].[All]" allUniqueName="[Range].[Net Salary (₹)].[All]" dimensionUniqueName="[Range]" displayFolder="" count="2" memberValueDatatype="20" unbalanced="0"/>
    <cacheHierarchy uniqueName="[Range].[Attendance Days (Cleaned)]" caption="Attendance Days (Cleaned)" attribute="1" defaultMemberUniqueName="[Range].[Attendance Days (Cleaned)].[All]" allUniqueName="[Range].[Attendance Days (Cleaned)].[All]" dimensionUniqueName="[Range]" displayFolder="" count="2" memberValueDatatype="20" unbalanced="0"/>
    <cacheHierarchy uniqueName="[Range].[Performance Score (%)]" caption="Performance Score (%)" attribute="1" defaultMemberUniqueName="[Range].[Performance Score (%)].[All]" allUniqueName="[Range].[Performance Score (%)].[All]" dimensionUniqueName="[Range]" displayFolder="" count="2" memberValueDatatype="20" unbalanced="0"/>
    <cacheHierarchy uniqueName="[Range].[Performance Rating]" caption="Performance Rating" attribute="1" defaultMemberUniqueName="[Range].[Performance Rating].[All]" allUniqueName="[Range].[Performance Rating].[All]" dimensionUniqueName="[Range]" displayFolder="" count="2" memberValueDatatype="130" unbalanced="0">
      <fieldsUsage count="2">
        <fieldUsage x="-1"/>
        <fieldUsage x="1"/>
      </fieldsUsage>
    </cacheHierarchy>
    <cacheHierarchy uniqueName="[Range].[Employment Status]" caption="Employment Status" attribute="1" defaultMemberUniqueName="[Range].[Employment Status].[All]" allUniqueName="[Range].[Employment Status].[All]" dimensionUniqueName="[Range]" displayFolder="" count="2"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Net Salary (₹)]" caption="Sum of Net Salary (₹)" measure="1" displayFolder="" measureGroup="Range" count="0" hidden="1">
      <extLst>
        <ext xmlns:x15="http://schemas.microsoft.com/office/spreadsheetml/2010/11/main" uri="{B97F6D7D-B522-45F9-BDA1-12C45D357490}">
          <x15:cacheHierarchy aggregatedColumn="13"/>
        </ext>
      </extLst>
    </cacheHierarchy>
    <cacheHierarchy uniqueName="[Measures].[Sum of Performance Score (%)]" caption="Sum of Performance Score (%)" measure="1" displayFolder="" measureGroup="Range" count="0" hidden="1">
      <extLst>
        <ext xmlns:x15="http://schemas.microsoft.com/office/spreadsheetml/2010/11/main" uri="{B97F6D7D-B522-45F9-BDA1-12C45D357490}">
          <x15:cacheHierarchy aggregatedColumn="15"/>
        </ext>
      </extLst>
    </cacheHierarchy>
    <cacheHierarchy uniqueName="[Measures].[Sum of Overtime (₹)]" caption="Sum of Overtime (₹)" measure="1" displayFolder="" measureGroup="Range" count="0" hidden="1">
      <extLst>
        <ext xmlns:x15="http://schemas.microsoft.com/office/spreadsheetml/2010/11/main" uri="{B97F6D7D-B522-45F9-BDA1-12C45D357490}">
          <x15:cacheHierarchy aggregatedColumn="11"/>
        </ext>
      </extLst>
    </cacheHierarchy>
    <cacheHierarchy uniqueName="[Measures].[Sum of Allowances (₹)]" caption="Sum of Allowances (₹)" measure="1" displayFolder="" measureGroup="Range" count="0" hidden="1">
      <extLst>
        <ext xmlns:x15="http://schemas.microsoft.com/office/spreadsheetml/2010/11/main" uri="{B97F6D7D-B522-45F9-BDA1-12C45D357490}">
          <x15:cacheHierarchy aggregatedColumn="10"/>
        </ext>
      </extLst>
    </cacheHierarchy>
    <cacheHierarchy uniqueName="[Measures].[Count of Performance Rating]" caption="Count of Performance Rating" measure="1" displayFolder="" measureGroup="Range" count="0" hidden="1">
      <extLst>
        <ext xmlns:x15="http://schemas.microsoft.com/office/spreadsheetml/2010/11/main" uri="{B97F6D7D-B522-45F9-BDA1-12C45D357490}">
          <x15:cacheHierarchy aggregatedColumn="16"/>
        </ext>
      </extLst>
    </cacheHierarchy>
    <cacheHierarchy uniqueName="[Measures].[Count of Employee ID]" caption="Count of Employee ID" measure="1" displayFolder="" measureGroup="Range" count="0" oneField="1" hidden="1">
      <fieldsUsage count="1">
        <fieldUsage x="0"/>
      </fieldsUsage>
      <extLst>
        <ext xmlns:x15="http://schemas.microsoft.com/office/spreadsheetml/2010/11/main" uri="{B97F6D7D-B522-45F9-BDA1-12C45D357490}">
          <x15:cacheHierarchy aggregatedColumn="0"/>
        </ext>
      </extLst>
    </cacheHierarchy>
    <cacheHierarchy uniqueName="[Measures].[Sum of Attendance Days (Cleaned)]" caption="Sum of Attendance Days (Cleaned)" measure="1" displayFolder="" measureGroup="Range" count="0" hidden="1">
      <extLst>
        <ext xmlns:x15="http://schemas.microsoft.com/office/spreadsheetml/2010/11/main" uri="{B97F6D7D-B522-45F9-BDA1-12C45D357490}">
          <x15:cacheHierarchy aggregatedColumn="14"/>
        </ext>
      </extLst>
    </cacheHierarchy>
    <cacheHierarchy uniqueName="[Measures].[Count of Gender (Cleaned)]" caption="Count of Gender (Cleaned)" measure="1" displayFolder="" measureGroup="Range"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pivotCacheId="40473454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E699230-1BDA-4896-AEE8-C67316280792}" name="PivotChar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1:H3" firstHeaderRow="1" firstDataRow="2" firstDataCol="1"/>
  <pivotFields count="3">
    <pivotField dataField="1" subtotalTop="0" showAll="0" defaultSubtotal="0"/>
    <pivotField axis="axisCol"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s>
  <rowItems count="1">
    <i/>
  </rowItems>
  <colFields count="1">
    <field x="1"/>
  </colFields>
  <colItems count="7">
    <i>
      <x/>
    </i>
    <i>
      <x v="1"/>
    </i>
    <i>
      <x v="2"/>
    </i>
    <i>
      <x v="3"/>
    </i>
    <i>
      <x v="4"/>
    </i>
    <i>
      <x v="5"/>
    </i>
    <i t="grand">
      <x/>
    </i>
  </colItems>
  <dataFields count="1">
    <dataField name="Sum of Net Salary (₹)" fld="0" baseField="0" baseItem="0"/>
  </dataFields>
  <chartFormats count="1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0"/>
          </reference>
        </references>
      </pivotArea>
    </chartFormat>
    <chartFormat chart="7" format="13" series="1">
      <pivotArea type="data" outline="0" fieldPosition="0">
        <references count="2">
          <reference field="4294967294" count="1" selected="0">
            <x v="0"/>
          </reference>
          <reference field="1" count="1" selected="0">
            <x v="0"/>
          </reference>
        </references>
      </pivotArea>
    </chartFormat>
    <chartFormat chart="7" format="14" series="1">
      <pivotArea type="data" outline="0" fieldPosition="0">
        <references count="2">
          <reference field="4294967294" count="1" selected="0">
            <x v="0"/>
          </reference>
          <reference field="1" count="1" selected="0">
            <x v="1"/>
          </reference>
        </references>
      </pivotArea>
    </chartFormat>
    <chartFormat chart="7" format="15" series="1">
      <pivotArea type="data" outline="0" fieldPosition="0">
        <references count="2">
          <reference field="4294967294" count="1" selected="0">
            <x v="0"/>
          </reference>
          <reference field="1" count="1" selected="0">
            <x v="2"/>
          </reference>
        </references>
      </pivotArea>
    </chartFormat>
    <chartFormat chart="7" format="16" series="1">
      <pivotArea type="data" outline="0" fieldPosition="0">
        <references count="2">
          <reference field="4294967294" count="1" selected="0">
            <x v="0"/>
          </reference>
          <reference field="1" count="1" selected="0">
            <x v="3"/>
          </reference>
        </references>
      </pivotArea>
    </chartFormat>
    <chartFormat chart="7" format="17" series="1">
      <pivotArea type="data" outline="0" fieldPosition="0">
        <references count="2">
          <reference field="4294967294" count="1" selected="0">
            <x v="0"/>
          </reference>
          <reference field="1" count="1" selected="0">
            <x v="4"/>
          </reference>
        </references>
      </pivotArea>
    </chartFormat>
    <chartFormat chart="7" format="18" series="1">
      <pivotArea type="data" outline="0" fieldPosition="0">
        <references count="2">
          <reference field="4294967294" count="1" selected="0">
            <x v="0"/>
          </reference>
          <reference field="1" count="1" selected="0">
            <x v="5"/>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ange].[City (Cleaned)].&amp;[Bangalor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7" cacheId="985207268">
        <x15:pivotRow count="7">
          <x15:c>
            <x15:v>559128</x15:v>
          </x15:c>
          <x15:c>
            <x15:v>1183233</x15:v>
          </x15:c>
          <x15:c>
            <x15:v>739610</x15:v>
          </x15:c>
          <x15:c>
            <x15:v>1124714</x15:v>
          </x15:c>
          <x15:c>
            <x15:v>774519</x15:v>
          </x15:c>
          <x15:c>
            <x15:v>847499</x15:v>
          </x15:c>
          <x15:c>
            <x15:v>5228703</x15:v>
          </x15:c>
        </x15:pivotRow>
      </x15:pivotTableData>
    </ext>
    <ext xmlns:x15="http://schemas.microsoft.com/office/spreadsheetml/2010/11/main" uri="{E67621CE-5B39-4880-91FE-76760E9C1902}">
      <x15:pivotTableUISettings sourceDataName="WorksheetConnection_✅ Clean Data!$A$2:$R$35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E699230-1BDA-4896-AEE8-C67316280792}" name="PivotChartTable3"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1:H3" firstHeaderRow="1" firstDataRow="2" firstDataCol="1"/>
  <pivotFields count="3">
    <pivotField dataField="1" subtotalTop="0" showAll="0" defaultSubtotal="0"/>
    <pivotField axis="axisCol"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s>
  <rowItems count="1">
    <i/>
  </rowItems>
  <colFields count="1">
    <field x="1"/>
  </colFields>
  <colItems count="7">
    <i>
      <x/>
    </i>
    <i>
      <x v="1"/>
    </i>
    <i>
      <x v="2"/>
    </i>
    <i>
      <x v="3"/>
    </i>
    <i>
      <x v="4"/>
    </i>
    <i>
      <x v="5"/>
    </i>
    <i t="grand">
      <x/>
    </i>
  </colItems>
  <dataFields count="1">
    <dataField name="Sum of Net Salary (₹)" fld="0" baseField="0" baseItem="0"/>
  </dataFields>
  <chartFormats count="2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0"/>
          </reference>
        </references>
      </pivotArea>
    </chartFormat>
    <chartFormat chart="7" format="13" series="1">
      <pivotArea type="data" outline="0" fieldPosition="0">
        <references count="2">
          <reference field="4294967294" count="1" selected="0">
            <x v="0"/>
          </reference>
          <reference field="1" count="1" selected="0">
            <x v="0"/>
          </reference>
        </references>
      </pivotArea>
    </chartFormat>
    <chartFormat chart="7" format="14" series="1">
      <pivotArea type="data" outline="0" fieldPosition="0">
        <references count="2">
          <reference field="4294967294" count="1" selected="0">
            <x v="0"/>
          </reference>
          <reference field="1" count="1" selected="0">
            <x v="1"/>
          </reference>
        </references>
      </pivotArea>
    </chartFormat>
    <chartFormat chart="7" format="15" series="1">
      <pivotArea type="data" outline="0" fieldPosition="0">
        <references count="2">
          <reference field="4294967294" count="1" selected="0">
            <x v="0"/>
          </reference>
          <reference field="1" count="1" selected="0">
            <x v="2"/>
          </reference>
        </references>
      </pivotArea>
    </chartFormat>
    <chartFormat chart="7" format="16" series="1">
      <pivotArea type="data" outline="0" fieldPosition="0">
        <references count="2">
          <reference field="4294967294" count="1" selected="0">
            <x v="0"/>
          </reference>
          <reference field="1" count="1" selected="0">
            <x v="3"/>
          </reference>
        </references>
      </pivotArea>
    </chartFormat>
    <chartFormat chart="7" format="17" series="1">
      <pivotArea type="data" outline="0" fieldPosition="0">
        <references count="2">
          <reference field="4294967294" count="1" selected="0">
            <x v="0"/>
          </reference>
          <reference field="1" count="1" selected="0">
            <x v="4"/>
          </reference>
        </references>
      </pivotArea>
    </chartFormat>
    <chartFormat chart="7" format="18" series="1">
      <pivotArea type="data" outline="0" fieldPosition="0">
        <references count="2">
          <reference field="4294967294" count="1" selected="0">
            <x v="0"/>
          </reference>
          <reference field="1" count="1" selected="0">
            <x v="5"/>
          </reference>
        </references>
      </pivotArea>
    </chartFormat>
    <chartFormat chart="8" format="7" series="1">
      <pivotArea type="data" outline="0" fieldPosition="0">
        <references count="2">
          <reference field="4294967294" count="1" selected="0">
            <x v="0"/>
          </reference>
          <reference field="1" count="1" selected="0">
            <x v="0"/>
          </reference>
        </references>
      </pivotArea>
    </chartFormat>
    <chartFormat chart="8" format="8" series="1">
      <pivotArea type="data" outline="0" fieldPosition="0">
        <references count="2">
          <reference field="4294967294" count="1" selected="0">
            <x v="0"/>
          </reference>
          <reference field="1" count="1" selected="0">
            <x v="1"/>
          </reference>
        </references>
      </pivotArea>
    </chartFormat>
    <chartFormat chart="8" format="9" series="1">
      <pivotArea type="data" outline="0" fieldPosition="0">
        <references count="2">
          <reference field="4294967294" count="1" selected="0">
            <x v="0"/>
          </reference>
          <reference field="1" count="1" selected="0">
            <x v="2"/>
          </reference>
        </references>
      </pivotArea>
    </chartFormat>
    <chartFormat chart="8" format="10" series="1">
      <pivotArea type="data" outline="0" fieldPosition="0">
        <references count="2">
          <reference field="4294967294" count="1" selected="0">
            <x v="0"/>
          </reference>
          <reference field="1" count="1" selected="0">
            <x v="3"/>
          </reference>
        </references>
      </pivotArea>
    </chartFormat>
    <chartFormat chart="8" format="11" series="1">
      <pivotArea type="data" outline="0" fieldPosition="0">
        <references count="2">
          <reference field="4294967294" count="1" selected="0">
            <x v="0"/>
          </reference>
          <reference field="1" count="1" selected="0">
            <x v="4"/>
          </reference>
        </references>
      </pivotArea>
    </chartFormat>
    <chartFormat chart="8" format="12" series="1">
      <pivotArea type="data" outline="0" fieldPosition="0">
        <references count="2">
          <reference field="4294967294" count="1" selected="0">
            <x v="0"/>
          </reference>
          <reference field="1" count="1" selected="0">
            <x v="5"/>
          </reference>
        </references>
      </pivotArea>
    </chartFormat>
    <chartFormat chart="9" format="13" series="1">
      <pivotArea type="data" outline="0" fieldPosition="0">
        <references count="2">
          <reference field="4294967294" count="1" selected="0">
            <x v="0"/>
          </reference>
          <reference field="1" count="1" selected="0">
            <x v="0"/>
          </reference>
        </references>
      </pivotArea>
    </chartFormat>
    <chartFormat chart="9" format="14" series="1">
      <pivotArea type="data" outline="0" fieldPosition="0">
        <references count="2">
          <reference field="4294967294" count="1" selected="0">
            <x v="0"/>
          </reference>
          <reference field="1" count="1" selected="0">
            <x v="1"/>
          </reference>
        </references>
      </pivotArea>
    </chartFormat>
    <chartFormat chart="9" format="15" series="1">
      <pivotArea type="data" outline="0" fieldPosition="0">
        <references count="2">
          <reference field="4294967294" count="1" selected="0">
            <x v="0"/>
          </reference>
          <reference field="1" count="1" selected="0">
            <x v="2"/>
          </reference>
        </references>
      </pivotArea>
    </chartFormat>
    <chartFormat chart="9" format="16" series="1">
      <pivotArea type="data" outline="0" fieldPosition="0">
        <references count="2">
          <reference field="4294967294" count="1" selected="0">
            <x v="0"/>
          </reference>
          <reference field="1" count="1" selected="0">
            <x v="3"/>
          </reference>
        </references>
      </pivotArea>
    </chartFormat>
    <chartFormat chart="9" format="17" series="1">
      <pivotArea type="data" outline="0" fieldPosition="0">
        <references count="2">
          <reference field="4294967294" count="1" selected="0">
            <x v="0"/>
          </reference>
          <reference field="1" count="1" selected="0">
            <x v="4"/>
          </reference>
        </references>
      </pivotArea>
    </chartFormat>
    <chartFormat chart="9" format="18" series="1">
      <pivotArea type="data" outline="0" fieldPosition="0">
        <references count="2">
          <reference field="4294967294" count="1" selected="0">
            <x v="0"/>
          </reference>
          <reference field="1" count="1" selected="0">
            <x v="5"/>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ange].[City (Cleaned)].&amp;[Bangalor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7" cacheId="1507044423">
        <x15:pivotRow count="7">
          <x15:c>
            <x15:v>559128</x15:v>
          </x15:c>
          <x15:c>
            <x15:v>1183233</x15:v>
          </x15:c>
          <x15:c>
            <x15:v>739610</x15:v>
          </x15:c>
          <x15:c>
            <x15:v>1124714</x15:v>
          </x15:c>
          <x15:c>
            <x15:v>774519</x15:v>
          </x15:c>
          <x15:c>
            <x15:v>847499</x15:v>
          </x15:c>
          <x15:c>
            <x15:v>5228703</x15:v>
          </x15:c>
        </x15:pivotRow>
      </x15:pivotTableData>
    </ext>
    <ext xmlns:x15="http://schemas.microsoft.com/office/spreadsheetml/2010/11/main" uri="{E67621CE-5B39-4880-91FE-76760E9C1902}">
      <x15:pivotTableUISettings sourceDataName="WorksheetConnection_✅ Clean Data!$A$2:$R$35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73FE348-058B-44CA-9E79-3A862512A07C}" name="PivotChar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B4" firstHeaderRow="1" firstDataRow="1" firstDataCol="1"/>
  <pivotFields count="4">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3">
    <i>
      <x/>
    </i>
    <i>
      <x v="1"/>
    </i>
    <i t="grand">
      <x/>
    </i>
  </rowItems>
  <colItems count="1">
    <i/>
  </colItems>
  <dataFields count="1">
    <dataField name="Sum of Performance Score (%)" fld="1" baseField="0" baseItem="0"/>
  </dataFields>
  <chartFormats count="1">
    <chartFormat chart="0" format="0" series="1">
      <pivotArea type="data" outline="0" fieldPosition="0">
        <references count="1">
          <reference field="4294967294" count="1" selected="0">
            <x v="0"/>
          </reference>
        </references>
      </pivotArea>
    </chartFormat>
  </chartFormats>
  <pivotHierarchies count="28">
    <pivotHierarchy dragToData="1"/>
    <pivotHierarchy dragToData="1"/>
    <pivotHierarchy dragToData="1"/>
    <pivotHierarchy dragToData="1"/>
    <pivotHierarchy multipleItemSelectionAllowed="1" dragToData="1">
      <members count="1" level="1">
        <member name="[Range].[Department (Cleaned)].&amp;[ENGINEERING]"/>
      </members>
    </pivotHierarchy>
    <pivotHierarchy dragToData="1"/>
    <pivotHierarchy dragToData="1"/>
    <pivotHierarchy multipleItemSelectionAllowed="1" dragToData="1">
      <members count="1" level="1">
        <member name="[Range].[City (Cleaned)].&amp;[Hyderabad]"/>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3" columnCount="1" cacheId="1825650283">
        <x15:pivotRow count="1">
          <x15:c>
            <x15:v>1831</x15:v>
          </x15:c>
        </x15:pivotRow>
        <x15:pivotRow count="1">
          <x15:c>
            <x15:v>1797</x15:v>
          </x15:c>
        </x15:pivotRow>
        <x15:pivotRow count="1">
          <x15:c>
            <x15:v>3628</x15:v>
          </x15:c>
        </x15:pivotRow>
      </x15:pivotTableData>
    </ext>
    <ext xmlns:x15="http://schemas.microsoft.com/office/spreadsheetml/2010/11/main" uri="{E67621CE-5B39-4880-91FE-76760E9C1902}">
      <x15:pivotTableUISettings sourceDataName="WorksheetConnection_✅ Clean Data!$A$2:$R$35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73FE348-058B-44CA-9E79-3A862512A07C}" name="PivotChartTable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B4" firstHeaderRow="1" firstDataRow="1" firstDataCol="1"/>
  <pivotFields count="4">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3">
    <i>
      <x/>
    </i>
    <i>
      <x v="1"/>
    </i>
    <i t="grand">
      <x/>
    </i>
  </rowItems>
  <colItems count="1">
    <i/>
  </colItems>
  <dataFields count="1">
    <dataField name="Sum of Performance Score (%)" fld="1" baseField="0" baseItem="0"/>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Hierarchies count="28">
    <pivotHierarchy dragToData="1"/>
    <pivotHierarchy dragToData="1"/>
    <pivotHierarchy dragToData="1"/>
    <pivotHierarchy dragToData="1"/>
    <pivotHierarchy multipleItemSelectionAllowed="1" dragToData="1">
      <members count="1" level="1">
        <member name="[Range].[Department (Cleaned)].&amp;[ENGINEERING]"/>
      </members>
    </pivotHierarchy>
    <pivotHierarchy dragToData="1"/>
    <pivotHierarchy dragToData="1"/>
    <pivotHierarchy multipleItemSelectionAllowed="1" dragToData="1">
      <members count="1" level="1">
        <member name="[Range].[City (Cleaned)].&amp;[Hyderabad]"/>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3" columnCount="1" cacheId="1878310120">
        <x15:pivotRow count="1">
          <x15:c>
            <x15:v>1831</x15:v>
          </x15:c>
        </x15:pivotRow>
        <x15:pivotRow count="1">
          <x15:c>
            <x15:v>1797</x15:v>
          </x15:c>
        </x15:pivotRow>
        <x15:pivotRow count="1">
          <x15:c>
            <x15:v>3628</x15:v>
          </x15:c>
        </x15:pivotRow>
      </x15:pivotTableData>
    </ext>
    <ext xmlns:x15="http://schemas.microsoft.com/office/spreadsheetml/2010/11/main" uri="{E67621CE-5B39-4880-91FE-76760E9C1902}">
      <x15:pivotTableUISettings sourceDataName="WorksheetConnection_✅ Clean Data!$A$2:$R$35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432C02B-673A-4E2E-92A6-6B5EFFA4D426}" name="PivotChartTable6"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1:B8" firstHeaderRow="1" firstDataRow="1" firstDataCol="1"/>
  <pivotFields count="6">
    <pivotField allDrilled="1" subtotalTop="0" showAll="0" dataSourceSort="1" defaultSubtotal="0" defaultAttributeDrillState="1"/>
    <pivotField allDrilled="1" subtotalTop="0" showAll="0" dataSourceSort="1" defaultSubtotal="0" defaultAttributeDrillState="1">
      <items count="1">
        <item s="1" x="0"/>
      </items>
    </pivotField>
    <pivotField allDrilled="1" subtotalTop="0" showAll="0" dataSourceSort="1" defaultSubtotal="0" defaultAttributeDrillState="1">
      <items count="1">
        <item s="1" x="0"/>
      </items>
    </pivotField>
    <pivotField allDrilled="1" subtotalTop="0" showAll="0" dataSourceSort="1" defaultSubtotal="0" defaultAttributeDrillState="1"/>
    <pivotField dataField="1" subtotalTop="0" showAll="0" defaultSubtotal="0"/>
    <pivotField axis="axisRow" allDrilled="1" subtotalTop="0" showAll="0" dataSourceSort="1" defaultSubtotal="0" defaultAttributeDrillState="1">
      <items count="6">
        <item x="0"/>
        <item x="1"/>
        <item x="2"/>
        <item x="3"/>
        <item x="4"/>
        <item x="5"/>
      </items>
    </pivotField>
  </pivotFields>
  <rowFields count="1">
    <field x="5"/>
  </rowFields>
  <rowItems count="7">
    <i>
      <x/>
    </i>
    <i>
      <x v="1"/>
    </i>
    <i>
      <x v="2"/>
    </i>
    <i>
      <x v="3"/>
    </i>
    <i>
      <x v="4"/>
    </i>
    <i>
      <x v="5"/>
    </i>
    <i t="grand">
      <x/>
    </i>
  </rowItems>
  <colItems count="1">
    <i/>
  </colItems>
  <dataFields count="1">
    <dataField name="Sum of Attendance Days (Cleaned)" fld="4" baseField="0" baseItem="0"/>
  </dataFields>
  <chartFormats count="1">
    <chartFormat chart="0" format="63" series="1">
      <pivotArea type="data" outline="0" fieldPosition="0">
        <references count="1">
          <reference field="4294967294" count="1" selected="0">
            <x v="0"/>
          </reference>
        </references>
      </pivotArea>
    </chartFormat>
  </chartFormats>
  <pivotHierarchies count="28">
    <pivotHierarchy dragToData="1"/>
    <pivotHierarchy dragToData="1"/>
    <pivotHierarchy dragToData="1"/>
    <pivotHierarchy dragToData="1"/>
    <pivotHierarchy multipleItemSelectionAllowed="1" dragToData="1"/>
    <pivotHierarchy multipleItemSelectionAllowed="1" dragToData="1">
      <members count="1" level="1">
        <member name="[Range].[Designation].&amp;[Senior Accountant]"/>
      </members>
    </pivotHierarchy>
    <pivotHierarchy dragToData="1"/>
    <pivotHierarchy multipleItemSelectionAllowed="1" dragToData="1">
      <members count="1" level="1">
        <member name="[Range].[City (Cleaned)].&amp;[Bangalore]"/>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7" columnCount="1" cacheId="763931962">
        <x15:pivotRow count="1">
          <x15:c>
            <x15:v>98</x15:v>
          </x15:c>
        </x15:pivotRow>
        <x15:pivotRow count="1">
          <x15:c>
            <x15:v>183</x15:v>
          </x15:c>
        </x15:pivotRow>
        <x15:pivotRow count="1">
          <x15:c>
            <x15:v>154</x15:v>
          </x15:c>
        </x15:pivotRow>
        <x15:pivotRow count="1">
          <x15:c>
            <x15:v>153</x15:v>
          </x15:c>
        </x15:pivotRow>
        <x15:pivotRow count="1">
          <x15:c>
            <x15:v>150</x15:v>
          </x15:c>
        </x15:pivotRow>
        <x15:pivotRow count="1">
          <x15:c>
            <x15:v>185</x15:v>
          </x15:c>
        </x15:pivotRow>
        <x15:pivotRow count="1">
          <x15:c>
            <x15:v>923</x15:v>
          </x15:c>
        </x15:pivotRow>
      </x15:pivotTableData>
    </ext>
    <ext xmlns:x15="http://schemas.microsoft.com/office/spreadsheetml/2010/11/main" uri="{E67621CE-5B39-4880-91FE-76760E9C1902}">
      <x15:pivotTableUISettings sourceDataName="WorksheetConnection_✅ Clean Data!$A$2:$R$35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432C02B-673A-4E2E-92A6-6B5EFFA4D426}" name="PivotChartTable7"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1:B8" firstHeaderRow="1" firstDataRow="1" firstDataCol="1"/>
  <pivotFields count="6">
    <pivotField allDrilled="1" subtotalTop="0" showAll="0" dataSourceSort="1" defaultSubtotal="0" defaultAttributeDrillState="1"/>
    <pivotField allDrilled="1" subtotalTop="0" showAll="0" dataSourceSort="1" defaultSubtotal="0" defaultAttributeDrillState="1">
      <items count="1">
        <item s="1" x="0"/>
      </items>
    </pivotField>
    <pivotField allDrilled="1" subtotalTop="0" showAll="0" dataSourceSort="1" defaultSubtotal="0" defaultAttributeDrillState="1">
      <items count="1">
        <item s="1" x="0"/>
      </items>
    </pivotField>
    <pivotField allDrilled="1" subtotalTop="0" showAll="0" dataSourceSort="1" defaultSubtotal="0" defaultAttributeDrillState="1"/>
    <pivotField dataField="1" subtotalTop="0" showAll="0" defaultSubtotal="0"/>
    <pivotField axis="axisRow" allDrilled="1" subtotalTop="0" showAll="0" dataSourceSort="1" defaultSubtotal="0" defaultAttributeDrillState="1">
      <items count="6">
        <item x="0"/>
        <item x="1"/>
        <item x="2"/>
        <item x="3"/>
        <item x="4"/>
        <item x="5"/>
      </items>
    </pivotField>
  </pivotFields>
  <rowFields count="1">
    <field x="5"/>
  </rowFields>
  <rowItems count="7">
    <i>
      <x/>
    </i>
    <i>
      <x v="1"/>
    </i>
    <i>
      <x v="2"/>
    </i>
    <i>
      <x v="3"/>
    </i>
    <i>
      <x v="4"/>
    </i>
    <i>
      <x v="5"/>
    </i>
    <i t="grand">
      <x/>
    </i>
  </rowItems>
  <colItems count="1">
    <i/>
  </colItems>
  <dataFields count="1">
    <dataField name="Sum of Attendance Days (Cleaned)" fld="4" baseField="0" baseItem="0"/>
  </dataFields>
  <chartFormats count="3">
    <chartFormat chart="0" format="63" series="1">
      <pivotArea type="data" outline="0" fieldPosition="0">
        <references count="1">
          <reference field="4294967294" count="1" selected="0">
            <x v="0"/>
          </reference>
        </references>
      </pivotArea>
    </chartFormat>
    <chartFormat chart="8" format="64" series="1">
      <pivotArea type="data" outline="0" fieldPosition="0">
        <references count="1">
          <reference field="4294967294" count="1" selected="0">
            <x v="0"/>
          </reference>
        </references>
      </pivotArea>
    </chartFormat>
    <chartFormat chart="9" format="65" series="1">
      <pivotArea type="data" outline="0" fieldPosition="0">
        <references count="1">
          <reference field="4294967294" count="1" selected="0">
            <x v="0"/>
          </reference>
        </references>
      </pivotArea>
    </chartFormat>
  </chartFormats>
  <pivotHierarchies count="28">
    <pivotHierarchy dragToData="1"/>
    <pivotHierarchy dragToData="1"/>
    <pivotHierarchy dragToData="1"/>
    <pivotHierarchy dragToData="1"/>
    <pivotHierarchy multipleItemSelectionAllowed="1" dragToData="1"/>
    <pivotHierarchy multipleItemSelectionAllowed="1" dragToData="1">
      <members count="1" level="1">
        <member name="[Range].[Designation].&amp;[Senior Accountant]"/>
      </members>
    </pivotHierarchy>
    <pivotHierarchy dragToData="1"/>
    <pivotHierarchy multipleItemSelectionAllowed="1" dragToData="1">
      <members count="1" level="1">
        <member name="[Range].[City (Cleaned)].&amp;[Bangalore]"/>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7" columnCount="1" cacheId="680905307">
        <x15:pivotRow count="1">
          <x15:c>
            <x15:v>98</x15:v>
          </x15:c>
        </x15:pivotRow>
        <x15:pivotRow count="1">
          <x15:c>
            <x15:v>183</x15:v>
          </x15:c>
        </x15:pivotRow>
        <x15:pivotRow count="1">
          <x15:c>
            <x15:v>154</x15:v>
          </x15:c>
        </x15:pivotRow>
        <x15:pivotRow count="1">
          <x15:c>
            <x15:v>153</x15:v>
          </x15:c>
        </x15:pivotRow>
        <x15:pivotRow count="1">
          <x15:c>
            <x15:v>150</x15:v>
          </x15:c>
        </x15:pivotRow>
        <x15:pivotRow count="1">
          <x15:c>
            <x15:v>185</x15:v>
          </x15:c>
        </x15:pivotRow>
        <x15:pivotRow count="1">
          <x15:c>
            <x15:v>923</x15:v>
          </x15:c>
        </x15:pivotRow>
      </x15:pivotTableData>
    </ext>
    <ext xmlns:x15="http://schemas.microsoft.com/office/spreadsheetml/2010/11/main" uri="{E67621CE-5B39-4880-91FE-76760E9C1902}">
      <x15:pivotTableUISettings sourceDataName="WorksheetConnection_✅ Clean Data!$A$2:$R$35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7477362-252B-496D-AE9B-B0F00281B93A}" name="PivotChartTable8"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B7" firstHeaderRow="1" firstDataRow="1" firstDataCol="1"/>
  <pivotFields count="3">
    <pivotField dataField="1" subtotalTop="0" showAll="0" defaultSubtotal="0"/>
    <pivotField axis="axisRow" allDrilled="1" subtotalTop="0" showAll="0" dataSourceSort="1" defaultSubtotal="0" defaultAttributeDrillState="1">
      <items count="5">
        <item x="0"/>
        <item x="1"/>
        <item x="2"/>
        <item x="3"/>
        <item x="4"/>
      </items>
    </pivotField>
    <pivotField allDrilled="1" subtotalTop="0" showAll="0" dataSourceSort="1" defaultSubtotal="0" defaultAttributeDrillState="1"/>
  </pivotFields>
  <rowFields count="1">
    <field x="1"/>
  </rowFields>
  <rowItems count="6">
    <i>
      <x/>
    </i>
    <i>
      <x v="1"/>
    </i>
    <i>
      <x v="2"/>
    </i>
    <i>
      <x v="3"/>
    </i>
    <i>
      <x v="4"/>
    </i>
    <i t="grand">
      <x/>
    </i>
  </rowItems>
  <colItems count="1">
    <i/>
  </colItems>
  <dataFields count="1">
    <dataField name="Count of Employee ID" fld="0" subtotal="count" baseField="0" baseItem="0"/>
  </dataFields>
  <chartFormats count="6">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1" count="1" selected="0">
            <x v="0"/>
          </reference>
        </references>
      </pivotArea>
    </chartFormat>
    <chartFormat chart="0" format="3">
      <pivotArea type="data" outline="0" fieldPosition="0">
        <references count="2">
          <reference field="4294967294" count="1" selected="0">
            <x v="0"/>
          </reference>
          <reference field="1" count="1" selected="0">
            <x v="1"/>
          </reference>
        </references>
      </pivotArea>
    </chartFormat>
    <chartFormat chart="0" format="4">
      <pivotArea type="data" outline="0" fieldPosition="0">
        <references count="2">
          <reference field="4294967294" count="1" selected="0">
            <x v="0"/>
          </reference>
          <reference field="1" count="1" selected="0">
            <x v="2"/>
          </reference>
        </references>
      </pivotArea>
    </chartFormat>
    <chartFormat chart="0" format="5">
      <pivotArea type="data" outline="0" fieldPosition="0">
        <references count="2">
          <reference field="4294967294" count="1" selected="0">
            <x v="0"/>
          </reference>
          <reference field="1" count="1" selected="0">
            <x v="3"/>
          </reference>
        </references>
      </pivotArea>
    </chartFormat>
    <chartFormat chart="0" format="6">
      <pivotArea type="data" outline="0" fieldPosition="0">
        <references count="2">
          <reference field="4294967294" count="1" selected="0">
            <x v="0"/>
          </reference>
          <reference field="1" count="1" selected="0">
            <x v="4"/>
          </reference>
        </references>
      </pivotArea>
    </chartFormat>
  </chartFormats>
  <pivotHierarchies count="28">
    <pivotHierarchy dragToData="1"/>
    <pivotHierarchy dragToData="1"/>
    <pivotHierarchy dragToData="1"/>
    <pivotHierarchy dragToData="1"/>
    <pivotHierarchy multipleItemSelectionAllowed="1" dragToData="1">
      <members count="1" level="1">
        <member name="[Range].[Department (Cleaned)].&amp;[ENGINEERING]"/>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6" columnCount="1" cacheId="404946820">
        <x15:pivotRow count="1">
          <x15:c>
            <x15:v>11</x15:v>
          </x15:c>
        </x15:pivotRow>
        <x15:pivotRow count="1">
          <x15:c>
            <x15:v>12</x15:v>
          </x15:c>
        </x15:pivotRow>
        <x15:pivotRow count="1">
          <x15:c>
            <x15:v>6</x15:v>
          </x15:c>
        </x15:pivotRow>
        <x15:pivotRow count="1">
          <x15:c>
            <x15:v>12</x15:v>
          </x15:c>
        </x15:pivotRow>
        <x15:pivotRow count="1">
          <x15:c>
            <x15:v>9</x15:v>
          </x15:c>
        </x15:pivotRow>
        <x15:pivotRow count="1">
          <x15:c>
            <x15:v>50</x15:v>
          </x15:c>
        </x15:pivotRow>
      </x15:pivotTableData>
    </ext>
    <ext xmlns:x15="http://schemas.microsoft.com/office/spreadsheetml/2010/11/main" uri="{E67621CE-5B39-4880-91FE-76760E9C1902}">
      <x15:pivotTableUISettings sourceDataName="WorksheetConnection_✅ Clean Data!$A$2:$R$35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7477362-252B-496D-AE9B-B0F00281B93A}" name="PivotChartTable9"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B7" firstHeaderRow="1" firstDataRow="1" firstDataCol="1"/>
  <pivotFields count="3">
    <pivotField dataField="1" subtotalTop="0" showAll="0" defaultSubtotal="0"/>
    <pivotField axis="axisRow" allDrilled="1" subtotalTop="0" showAll="0" dataSourceSort="1" defaultSubtotal="0" defaultAttributeDrillState="1">
      <items count="5">
        <item x="0"/>
        <item x="1"/>
        <item x="2"/>
        <item x="3"/>
        <item x="4"/>
      </items>
    </pivotField>
    <pivotField allDrilled="1" subtotalTop="0" showAll="0" dataSourceSort="1" defaultSubtotal="0" defaultAttributeDrillState="1"/>
  </pivotFields>
  <rowFields count="1">
    <field x="1"/>
  </rowFields>
  <rowItems count="6">
    <i>
      <x/>
    </i>
    <i>
      <x v="1"/>
    </i>
    <i>
      <x v="2"/>
    </i>
    <i>
      <x v="3"/>
    </i>
    <i>
      <x v="4"/>
    </i>
    <i t="grand">
      <x/>
    </i>
  </rowItems>
  <colItems count="1">
    <i/>
  </colItems>
  <dataFields count="1">
    <dataField name="Count of Employee ID" fld="0" subtotal="count" baseField="0" baseItem="0"/>
  </dataFields>
  <chartFormats count="13">
    <chartFormat chart="0" format="1"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0"/>
          </reference>
        </references>
      </pivotArea>
    </chartFormat>
    <chartFormat chart="4" format="8">
      <pivotArea type="data" outline="0" fieldPosition="0">
        <references count="2">
          <reference field="4294967294" count="1" selected="0">
            <x v="0"/>
          </reference>
          <reference field="1" count="1" selected="0">
            <x v="0"/>
          </reference>
        </references>
      </pivotArea>
    </chartFormat>
    <chartFormat chart="4" format="9">
      <pivotArea type="data" outline="0" fieldPosition="0">
        <references count="2">
          <reference field="4294967294" count="1" selected="0">
            <x v="0"/>
          </reference>
          <reference field="1" count="1" selected="0">
            <x v="1"/>
          </reference>
        </references>
      </pivotArea>
    </chartFormat>
    <chartFormat chart="4" format="10">
      <pivotArea type="data" outline="0" fieldPosition="0">
        <references count="2">
          <reference field="4294967294" count="1" selected="0">
            <x v="0"/>
          </reference>
          <reference field="1" count="1" selected="0">
            <x v="2"/>
          </reference>
        </references>
      </pivotArea>
    </chartFormat>
    <chartFormat chart="4" format="11">
      <pivotArea type="data" outline="0" fieldPosition="0">
        <references count="2">
          <reference field="4294967294" count="1" selected="0">
            <x v="0"/>
          </reference>
          <reference field="1" count="1" selected="0">
            <x v="3"/>
          </reference>
        </references>
      </pivotArea>
    </chartFormat>
    <chartFormat chart="4" format="12">
      <pivotArea type="data" outline="0" fieldPosition="0">
        <references count="2">
          <reference field="4294967294" count="1" selected="0">
            <x v="0"/>
          </reference>
          <reference field="1" count="1" selected="0">
            <x v="4"/>
          </reference>
        </references>
      </pivotArea>
    </chartFormat>
    <chartFormat chart="5" format="13" series="1">
      <pivotArea type="data" outline="0" fieldPosition="0">
        <references count="1">
          <reference field="4294967294" count="1" selected="0">
            <x v="0"/>
          </reference>
        </references>
      </pivotArea>
    </chartFormat>
    <chartFormat chart="5" format="14">
      <pivotArea type="data" outline="0" fieldPosition="0">
        <references count="2">
          <reference field="4294967294" count="1" selected="0">
            <x v="0"/>
          </reference>
          <reference field="1" count="1" selected="0">
            <x v="0"/>
          </reference>
        </references>
      </pivotArea>
    </chartFormat>
    <chartFormat chart="5" format="15">
      <pivotArea type="data" outline="0" fieldPosition="0">
        <references count="2">
          <reference field="4294967294" count="1" selected="0">
            <x v="0"/>
          </reference>
          <reference field="1" count="1" selected="0">
            <x v="1"/>
          </reference>
        </references>
      </pivotArea>
    </chartFormat>
    <chartFormat chart="5" format="16">
      <pivotArea type="data" outline="0" fieldPosition="0">
        <references count="2">
          <reference field="4294967294" count="1" selected="0">
            <x v="0"/>
          </reference>
          <reference field="1" count="1" selected="0">
            <x v="2"/>
          </reference>
        </references>
      </pivotArea>
    </chartFormat>
    <chartFormat chart="5" format="17">
      <pivotArea type="data" outline="0" fieldPosition="0">
        <references count="2">
          <reference field="4294967294" count="1" selected="0">
            <x v="0"/>
          </reference>
          <reference field="1" count="1" selected="0">
            <x v="3"/>
          </reference>
        </references>
      </pivotArea>
    </chartFormat>
    <chartFormat chart="5" format="18">
      <pivotArea type="data" outline="0" fieldPosition="0">
        <references count="2">
          <reference field="4294967294" count="1" selected="0">
            <x v="0"/>
          </reference>
          <reference field="1" count="1" selected="0">
            <x v="4"/>
          </reference>
        </references>
      </pivotArea>
    </chartFormat>
  </chartFormats>
  <pivotHierarchies count="28">
    <pivotHierarchy dragToData="1"/>
    <pivotHierarchy dragToData="1"/>
    <pivotHierarchy dragToData="1"/>
    <pivotHierarchy dragToData="1"/>
    <pivotHierarchy multipleItemSelectionAllowed="1" dragToData="1">
      <members count="1" level="1">
        <member name="[Range].[Department (Cleaned)].&amp;[ENGINEERING]"/>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6" columnCount="1" cacheId="404734544">
        <x15:pivotRow count="1">
          <x15:c>
            <x15:v>11</x15:v>
          </x15:c>
        </x15:pivotRow>
        <x15:pivotRow count="1">
          <x15:c>
            <x15:v>12</x15:v>
          </x15:c>
        </x15:pivotRow>
        <x15:pivotRow count="1">
          <x15:c>
            <x15:v>6</x15:v>
          </x15:c>
        </x15:pivotRow>
        <x15:pivotRow count="1">
          <x15:c>
            <x15:v>12</x15:v>
          </x15:c>
        </x15:pivotRow>
        <x15:pivotRow count="1">
          <x15:c>
            <x15:v>9</x15:v>
          </x15:c>
        </x15:pivotRow>
        <x15:pivotRow count="1">
          <x15:c>
            <x15:v>50</x15:v>
          </x15:c>
        </x15:pivotRow>
      </x15:pivotTableData>
    </ext>
    <ext xmlns:x15="http://schemas.microsoft.com/office/spreadsheetml/2010/11/main" uri="{E67621CE-5B39-4880-91FE-76760E9C1902}">
      <x15:pivotTableUISettings sourceDataName="WorksheetConnection_✅ Clean Data!$A$2:$R$35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__Cleaned" xr10:uid="{5AC3A1A5-EB86-41E9-8BC3-F4D72E147CA7}" sourceName="[Range].[City (Cleaned)]">
  <data>
    <olap pivotCacheId="893117714">
      <levels count="2">
        <level uniqueName="[Range].[City (Cleaned)].[(All)]" sourceCaption="(All)" count="0"/>
        <level uniqueName="[Range].[City (Cleaned)].[City (Cleaned)]" sourceCaption="City (Cleaned)" count="7">
          <ranges>
            <range startItem="0">
              <i n="[Range].[City (Cleaned)].&amp;[Bangalore]" c="Bangalore"/>
              <i n="[Range].[City (Cleaned)].&amp;[Chennai]" c="Chennai"/>
              <i n="[Range].[City (Cleaned)].&amp;[Delhi]" c="Delhi"/>
              <i n="[Range].[City (Cleaned)].&amp;[Hyderabad]" c="Hyderabad"/>
              <i n="[Range].[City (Cleaned)].&amp;[Kolkata]" c="Kolkata"/>
              <i n="[Range].[City (Cleaned)].&amp;[Mumbai]" c="Mumbai"/>
              <i n="[Range].[City (Cleaned)].&amp;[Pune]" c="Pune"/>
            </range>
          </ranges>
        </level>
      </levels>
      <selections count="1">
        <selection n="[Range].[City (Cleaned)].&amp;[Bangalore]"/>
      </selections>
    </olap>
  </data>
  <extLst>
    <x:ext xmlns:x15="http://schemas.microsoft.com/office/spreadsheetml/2010/11/main" uri="{03082B11-2C62-411c-B77F-237D8FCFBE4C}">
      <x15:slicerCachePivotTables>
        <pivotTable tabId="4294967295" name="PivotChartTable3"/>
        <pivotTable tabId="4294967295" name="PivotChartTable1"/>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__Cleaned" xr10:uid="{FC83C35B-DA23-4C52-89F3-C07583336C73}" sourceName="[Range].[Department (Cleaned)]">
  <data>
    <olap pivotCacheId="893117714">
      <levels count="2">
        <level uniqueName="[Range].[Department (Cleaned)].[(All)]" sourceCaption="(All)" count="0"/>
        <level uniqueName="[Range].[Department (Cleaned)].[Department (Cleaned)]" sourceCaption="Department (Cleaned)" count="6">
          <ranges>
            <range startItem="0">
              <i n="[Range].[Department (Cleaned)].&amp;[ENGINEERING]" c="ENGINEERING"/>
              <i n="[Range].[Department (Cleaned)].&amp;[FINANCE]" c="FINANCE"/>
              <i n="[Range].[Department (Cleaned)].&amp;[HR]" c="HR"/>
              <i n="[Range].[Department (Cleaned)].&amp;[MARKETING]" c="MARKETING"/>
              <i n="[Range].[Department (Cleaned)].&amp;[OPERATIONS]" c="OPERATIONS"/>
              <i n="[Range].[Department (Cleaned)].&amp;[SALES]" c="SALES"/>
            </range>
          </ranges>
        </level>
      </levels>
      <selections count="1">
        <selection n="[Range].[Department (Cleaned)].&amp;[ENGINEERING]"/>
      </selections>
    </olap>
  </data>
  <extLst>
    <x:ext xmlns:x15="http://schemas.microsoft.com/office/spreadsheetml/2010/11/main" uri="{03082B11-2C62-411c-B77F-237D8FCFBE4C}">
      <x15:slicerCachePivotTables>
        <pivotTable tabId="4294967295" name="PivotChartTable5"/>
        <pivotTable tabId="4294967295" name="PivotChartTable4"/>
      </x15:slicerCachePivotTables>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__Cleaned1" xr10:uid="{76791DFE-FD83-4AF3-9A5D-D2E83348F734}" sourceName="[Range].[City (Cleaned)]">
  <data>
    <olap pivotCacheId="893117714">
      <levels count="2">
        <level uniqueName="[Range].[City (Cleaned)].[(All)]" sourceCaption="(All)" count="0"/>
        <level uniqueName="[Range].[City (Cleaned)].[City (Cleaned)]" sourceCaption="City (Cleaned)" count="7">
          <ranges>
            <range startItem="0">
              <i n="[Range].[City (Cleaned)].&amp;[Bangalore]" c="Bangalore"/>
              <i n="[Range].[City (Cleaned)].&amp;[Chennai]" c="Chennai"/>
              <i n="[Range].[City (Cleaned)].&amp;[Delhi]" c="Delhi"/>
              <i n="[Range].[City (Cleaned)].&amp;[Hyderabad]" c="Hyderabad"/>
              <i n="[Range].[City (Cleaned)].&amp;[Kolkata]" c="Kolkata"/>
              <i n="[Range].[City (Cleaned)].&amp;[Mumbai]" c="Mumbai"/>
              <i n="[Range].[City (Cleaned)].&amp;[Pune]" c="Pune"/>
            </range>
          </ranges>
        </level>
      </levels>
      <selections count="1">
        <selection n="[Range].[City (Cleaned)].&amp;[Bangalore]"/>
      </selections>
    </olap>
  </data>
  <extLst>
    <x:ext xmlns:x15="http://schemas.microsoft.com/office/spreadsheetml/2010/11/main" uri="{03082B11-2C62-411c-B77F-237D8FCFBE4C}">
      <x15:slicerCachePivotTables>
        <pivotTable tabId="4294967295" name="PivotChartTable7"/>
        <pivotTable tabId="4294967295" name="PivotChartTable6"/>
      </x15:slicerCachePivotTables>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__Cleaned1" xr10:uid="{AACCF7B4-C260-47E4-A8BC-16D8C26D2770}" sourceName="[Range].[Department (Cleaned)]">
  <data>
    <olap pivotCacheId="893117714">
      <levels count="2">
        <level uniqueName="[Range].[Department (Cleaned)].[(All)]" sourceCaption="(All)" count="0"/>
        <level uniqueName="[Range].[Department (Cleaned)].[Department (Cleaned)]" sourceCaption="Department (Cleaned)" count="6">
          <ranges>
            <range startItem="0">
              <i n="[Range].[Department (Cleaned)].&amp;[ENGINEERING]" c="ENGINEERING"/>
              <i n="[Range].[Department (Cleaned)].&amp;[FINANCE]" c="FINANCE"/>
              <i n="[Range].[Department (Cleaned)].&amp;[HR]" c="HR"/>
              <i n="[Range].[Department (Cleaned)].&amp;[MARKETING]" c="MARKETING"/>
              <i n="[Range].[Department (Cleaned)].&amp;[OPERATIONS]" c="OPERATIONS"/>
              <i n="[Range].[Department (Cleaned)].&amp;[SALES]" c="SALES"/>
            </range>
          </ranges>
        </level>
      </levels>
      <selections count="1">
        <selection n="[Range].[Department (Cleaned)].&amp;[ENGINEERING]"/>
      </selections>
    </olap>
  </data>
  <extLst>
    <x:ext xmlns:x15="http://schemas.microsoft.com/office/spreadsheetml/2010/11/main" uri="{03082B11-2C62-411c-B77F-237D8FCFBE4C}">
      <x15:slicerCachePivotTables>
        <pivotTable tabId="4294967295" name="PivotChartTable9"/>
        <pivotTable tabId="4294967295" name="PivotChartTable8"/>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Cleaned) 3" xr10:uid="{13D46C11-E866-483E-80D4-FED7C69DA8AF}" cache="Slicer_City__Cleaned" caption="City (Cleaned)" columnCount="3" level="1" style="SlicerStyleDark6" rowHeight="234950"/>
  <slicer name="Department (Cleaned) 2" xr10:uid="{84646B82-FF0C-4280-9397-FBDDBA4E52D3}" cache="Slicer_Department__Cleaned" caption="Department (Cleaned)" columnCount="3" level="1" style="SlicerStyleDark6" rowHeight="234950"/>
  <slicer name="City (Cleaned) 2" xr10:uid="{00B14388-5CFC-44BE-83EC-83A9A7B768C3}" cache="Slicer_City__Cleaned1" caption="City (Cleaned)" columnCount="3" level="1" style="SlicerStyleDark5" rowHeight="234950"/>
  <slicer name="Department (Cleaned) 3" xr10:uid="{A672DC8E-33B0-40CD-9058-933AEB196508}" cache="Slicer_Department__Cleaned1" caption="Department (Cleaned)" columnCount="3" level="1" style="SlicerStyleDark5"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Cleaned) 1" xr10:uid="{44B47FA4-B1AF-41B0-8CED-1F1CEB219734}" cache="Slicer_Department__Cleaned1" caption="Department (Cleaned)" columnCount="3" level="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Cleaned) 1" xr10:uid="{3D5F8086-2781-4502-B3D5-0569067F6E82}" cache="Slicer_City__Cleaned1" caption="City (Cleaned)" columnCount="4" level="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Cleaned)" xr10:uid="{51DAA138-3E68-474C-9D70-4A9A478487F4}" cache="Slicer_City__Cleaned" caption="City (Cleaned)" columnCount="3" level="1"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Cleaned)" xr10:uid="{3651E68C-9124-4FE4-BCE9-42DC893DB171}" cache="Slicer_Department__Cleaned" caption="Department (Cleaned)" columnCount="3" level="1" style="SlicerStyleDark5" rowHeight="234950"/>
</slicers>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2" Type="http://schemas.microsoft.com/office/2007/relationships/slicer" Target="../slicers/slicer5.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48"/>
  <sheetViews>
    <sheetView showGridLines="0" zoomScale="88" zoomScaleNormal="100" workbookViewId="0">
      <selection activeCell="B18" sqref="B18:C18"/>
    </sheetView>
  </sheetViews>
  <sheetFormatPr defaultColWidth="8.6640625" defaultRowHeight="14.4"/>
  <cols>
    <col min="1" max="1" width="15.77734375" customWidth="1"/>
    <col min="2" max="8" width="18" customWidth="1"/>
    <col min="9" max="9" width="45.6640625" customWidth="1"/>
    <col min="11" max="11" width="24.33203125" customWidth="1"/>
  </cols>
  <sheetData>
    <row r="1" spans="1:11" ht="19.5" customHeight="1">
      <c r="A1" s="1"/>
      <c r="B1" s="1"/>
      <c r="C1" s="1"/>
      <c r="D1" s="1"/>
      <c r="E1" s="1"/>
      <c r="F1" s="1"/>
      <c r="G1" s="1"/>
      <c r="H1" s="1"/>
      <c r="I1" s="1"/>
      <c r="J1" s="1"/>
      <c r="K1" s="1"/>
    </row>
    <row r="2" spans="1:11" ht="19.5" customHeight="1">
      <c r="A2" s="168" t="s">
        <v>888</v>
      </c>
      <c r="B2" s="168"/>
      <c r="C2" s="168"/>
      <c r="D2" s="168"/>
      <c r="E2" s="168"/>
      <c r="F2" s="168"/>
      <c r="G2" s="168"/>
      <c r="H2" s="168"/>
      <c r="I2" s="168"/>
      <c r="J2" s="168"/>
      <c r="K2" s="168"/>
    </row>
    <row r="3" spans="1:11" ht="19.5" customHeight="1">
      <c r="A3" s="168"/>
      <c r="B3" s="168"/>
      <c r="C3" s="168"/>
      <c r="D3" s="168"/>
      <c r="E3" s="168"/>
      <c r="F3" s="168"/>
      <c r="G3" s="168"/>
      <c r="H3" s="168"/>
      <c r="I3" s="168"/>
      <c r="J3" s="168"/>
      <c r="K3" s="168"/>
    </row>
    <row r="4" spans="1:11" ht="19.5" customHeight="1">
      <c r="A4" s="168"/>
      <c r="B4" s="168"/>
      <c r="C4" s="168"/>
      <c r="D4" s="168"/>
      <c r="E4" s="168"/>
      <c r="F4" s="168"/>
      <c r="G4" s="168"/>
      <c r="H4" s="168"/>
      <c r="I4" s="168"/>
      <c r="J4" s="168"/>
      <c r="K4" s="168"/>
    </row>
    <row r="5" spans="1:11" ht="33" customHeight="1">
      <c r="A5" s="168"/>
      <c r="B5" s="168"/>
      <c r="C5" s="168"/>
      <c r="D5" s="168"/>
      <c r="E5" s="168"/>
      <c r="F5" s="168"/>
      <c r="G5" s="168"/>
      <c r="H5" s="168"/>
      <c r="I5" s="168"/>
      <c r="J5" s="168"/>
      <c r="K5" s="168"/>
    </row>
    <row r="6" spans="1:11" ht="19.5" customHeight="1">
      <c r="A6" s="2"/>
      <c r="B6" s="174"/>
      <c r="C6" s="174"/>
      <c r="D6" s="174"/>
      <c r="E6" s="174"/>
      <c r="F6" s="174"/>
      <c r="G6" s="174"/>
      <c r="H6" s="174"/>
      <c r="I6" s="174"/>
      <c r="J6" s="2"/>
      <c r="K6" s="2"/>
    </row>
    <row r="7" spans="1:11" ht="19.5" customHeight="1">
      <c r="A7" s="2"/>
      <c r="B7" s="2"/>
      <c r="C7" s="2"/>
      <c r="D7" s="2"/>
      <c r="E7" s="2"/>
      <c r="F7" s="2"/>
      <c r="G7" s="2"/>
      <c r="H7" s="2"/>
      <c r="I7" s="2"/>
      <c r="J7" s="2"/>
      <c r="K7" s="2"/>
    </row>
    <row r="8" spans="1:11" ht="3.75" customHeight="1">
      <c r="A8" s="2"/>
      <c r="B8" s="175"/>
      <c r="C8" s="175"/>
      <c r="D8" s="175"/>
      <c r="E8" s="175"/>
      <c r="F8" s="175"/>
      <c r="G8" s="175"/>
      <c r="H8" s="175"/>
      <c r="I8" s="175"/>
      <c r="J8" s="2"/>
      <c r="K8" s="2"/>
    </row>
    <row r="9" spans="1:11" ht="19.5" customHeight="1">
      <c r="A9" s="2"/>
      <c r="B9" s="2"/>
      <c r="C9" s="2"/>
      <c r="D9" s="2"/>
      <c r="E9" s="2"/>
      <c r="F9" s="2"/>
      <c r="G9" s="2"/>
      <c r="H9" s="2"/>
      <c r="I9" s="2"/>
      <c r="J9" s="2"/>
      <c r="K9" s="2"/>
    </row>
    <row r="10" spans="1:11" ht="19.5" customHeight="1">
      <c r="A10" s="2"/>
      <c r="B10" s="162" t="s">
        <v>0</v>
      </c>
      <c r="C10" s="162"/>
      <c r="D10" s="163" t="s">
        <v>1</v>
      </c>
      <c r="E10" s="163"/>
      <c r="F10" s="164" t="s">
        <v>2</v>
      </c>
      <c r="G10" s="164"/>
      <c r="H10" s="165" t="s">
        <v>895</v>
      </c>
      <c r="I10" s="165"/>
      <c r="J10" s="2"/>
      <c r="K10" s="2"/>
    </row>
    <row r="11" spans="1:11" ht="19.5" customHeight="1">
      <c r="A11" s="2"/>
      <c r="B11" s="162"/>
      <c r="C11" s="162"/>
      <c r="D11" s="163"/>
      <c r="E11" s="163"/>
      <c r="F11" s="164"/>
      <c r="G11" s="164"/>
      <c r="H11" s="165"/>
      <c r="I11" s="165"/>
      <c r="J11" s="2"/>
      <c r="K11" s="2"/>
    </row>
    <row r="12" spans="1:11" ht="19.5" customHeight="1">
      <c r="A12" s="2"/>
      <c r="B12" s="162"/>
      <c r="C12" s="162"/>
      <c r="D12" s="163"/>
      <c r="E12" s="163"/>
      <c r="F12" s="164"/>
      <c r="G12" s="164"/>
      <c r="H12" s="165"/>
      <c r="I12" s="165"/>
      <c r="J12" s="2"/>
      <c r="K12" s="2"/>
    </row>
    <row r="13" spans="1:11" ht="19.5" customHeight="1">
      <c r="A13" s="2"/>
      <c r="B13" s="162"/>
      <c r="C13" s="162"/>
      <c r="D13" s="163"/>
      <c r="E13" s="163"/>
      <c r="F13" s="164"/>
      <c r="G13" s="164"/>
      <c r="H13" s="165"/>
      <c r="I13" s="165"/>
      <c r="J13" s="2"/>
      <c r="K13" s="2"/>
    </row>
    <row r="14" spans="1:11" ht="19.5" customHeight="1">
      <c r="A14" s="2"/>
      <c r="B14" s="162"/>
      <c r="C14" s="162"/>
      <c r="D14" s="163"/>
      <c r="E14" s="163"/>
      <c r="F14" s="164"/>
      <c r="G14" s="164"/>
      <c r="H14" s="165"/>
      <c r="I14" s="165"/>
      <c r="J14" s="2"/>
      <c r="K14" s="2"/>
    </row>
    <row r="15" spans="1:11" ht="19.5" customHeight="1">
      <c r="A15" s="2"/>
      <c r="B15" s="2"/>
      <c r="C15" s="2"/>
      <c r="D15" s="2"/>
      <c r="E15" s="2"/>
      <c r="F15" s="2"/>
      <c r="G15" s="2"/>
      <c r="H15" s="2"/>
      <c r="I15" s="2"/>
      <c r="J15" s="2"/>
      <c r="K15" s="2"/>
    </row>
    <row r="16" spans="1:11" ht="19.5" customHeight="1">
      <c r="A16" s="2"/>
      <c r="B16" s="2"/>
      <c r="C16" s="2"/>
      <c r="D16" s="2"/>
      <c r="E16" s="2"/>
      <c r="F16" s="2"/>
      <c r="G16" s="2"/>
      <c r="H16" s="2"/>
      <c r="I16" s="2"/>
      <c r="J16" s="2"/>
      <c r="K16" s="2"/>
    </row>
    <row r="17" spans="1:11" ht="19.5" customHeight="1">
      <c r="A17" s="2"/>
      <c r="B17" s="171" t="s">
        <v>3</v>
      </c>
      <c r="C17" s="171"/>
      <c r="D17" s="171"/>
      <c r="E17" s="171"/>
      <c r="F17" s="171"/>
      <c r="G17" s="171"/>
      <c r="H17" s="171"/>
      <c r="I17" s="171"/>
      <c r="J17" s="2"/>
      <c r="K17" s="2"/>
    </row>
    <row r="18" spans="1:11" ht="64.8" customHeight="1">
      <c r="A18" s="2"/>
      <c r="B18" s="172" t="s">
        <v>4</v>
      </c>
      <c r="C18" s="172"/>
      <c r="D18" s="167" t="s">
        <v>5</v>
      </c>
      <c r="E18" s="167"/>
      <c r="F18" s="167"/>
      <c r="G18" s="167"/>
      <c r="H18" s="167"/>
      <c r="I18" s="167"/>
      <c r="J18" s="2"/>
      <c r="K18" s="2"/>
    </row>
    <row r="19" spans="1:11" ht="73.8" customHeight="1">
      <c r="A19" s="2"/>
      <c r="B19" s="173" t="s">
        <v>6</v>
      </c>
      <c r="C19" s="173"/>
      <c r="D19" s="167" t="s">
        <v>7</v>
      </c>
      <c r="E19" s="167"/>
      <c r="F19" s="167"/>
      <c r="G19" s="167"/>
      <c r="H19" s="167"/>
      <c r="I19" s="167"/>
      <c r="J19" s="2"/>
      <c r="K19" s="2"/>
    </row>
    <row r="20" spans="1:11" ht="85.8" customHeight="1">
      <c r="A20" s="2"/>
      <c r="B20" s="169" t="s">
        <v>8</v>
      </c>
      <c r="C20" s="169"/>
      <c r="D20" s="167" t="s">
        <v>9</v>
      </c>
      <c r="E20" s="167"/>
      <c r="F20" s="167"/>
      <c r="G20" s="167"/>
      <c r="H20" s="167"/>
      <c r="I20" s="167"/>
      <c r="J20" s="2"/>
      <c r="K20" s="2"/>
    </row>
    <row r="21" spans="1:11" ht="74.400000000000006" customHeight="1">
      <c r="A21" s="2"/>
      <c r="B21" s="170" t="s">
        <v>10</v>
      </c>
      <c r="C21" s="170"/>
      <c r="D21" s="167" t="s">
        <v>11</v>
      </c>
      <c r="E21" s="167"/>
      <c r="F21" s="167"/>
      <c r="G21" s="167"/>
      <c r="H21" s="167"/>
      <c r="I21" s="167"/>
      <c r="J21" s="2"/>
      <c r="K21" s="2"/>
    </row>
    <row r="22" spans="1:11" ht="68.400000000000006" customHeight="1">
      <c r="A22" s="2"/>
      <c r="B22" s="166" t="s">
        <v>12</v>
      </c>
      <c r="C22" s="166"/>
      <c r="D22" s="167" t="s">
        <v>13</v>
      </c>
      <c r="E22" s="167"/>
      <c r="F22" s="167"/>
      <c r="G22" s="167"/>
      <c r="H22" s="167"/>
      <c r="I22" s="167"/>
      <c r="J22" s="2"/>
      <c r="K22" s="2"/>
    </row>
    <row r="23" spans="1:11" ht="19.5" customHeight="1">
      <c r="A23" s="2"/>
      <c r="B23" s="2"/>
      <c r="C23" s="2"/>
      <c r="D23" s="2"/>
      <c r="E23" s="2"/>
      <c r="F23" s="2"/>
      <c r="G23" s="2"/>
      <c r="H23" s="2"/>
      <c r="I23" s="2"/>
      <c r="J23" s="2"/>
      <c r="K23" s="2"/>
    </row>
    <row r="24" spans="1:11" ht="19.5" customHeight="1">
      <c r="A24" s="2"/>
      <c r="B24" s="2"/>
      <c r="C24" s="2"/>
      <c r="D24" s="2"/>
      <c r="E24" s="2"/>
      <c r="F24" s="2"/>
      <c r="G24" s="2"/>
      <c r="H24" s="2"/>
      <c r="I24" s="2"/>
      <c r="J24" s="2"/>
      <c r="K24" s="2"/>
    </row>
    <row r="25" spans="1:11" ht="19.5" customHeight="1">
      <c r="A25" s="2"/>
      <c r="B25" s="2"/>
      <c r="C25" s="2"/>
      <c r="D25" s="2"/>
      <c r="E25" s="2"/>
      <c r="F25" s="2"/>
      <c r="G25" s="2"/>
      <c r="H25" s="2"/>
      <c r="I25" s="2"/>
      <c r="J25" s="2"/>
      <c r="K25" s="2"/>
    </row>
    <row r="26" spans="1:11" ht="19.5" customHeight="1">
      <c r="A26" s="2"/>
      <c r="B26" s="2"/>
      <c r="C26" s="2"/>
      <c r="D26" s="2"/>
      <c r="E26" s="2"/>
      <c r="F26" s="2"/>
      <c r="G26" s="2"/>
      <c r="H26" s="2"/>
      <c r="I26" s="2"/>
      <c r="J26" s="2"/>
      <c r="K26" s="2"/>
    </row>
    <row r="27" spans="1:11" ht="19.5" customHeight="1">
      <c r="A27" s="2"/>
      <c r="B27" s="2"/>
      <c r="C27" s="2"/>
      <c r="D27" s="2"/>
      <c r="E27" s="2"/>
      <c r="F27" s="2"/>
      <c r="G27" s="2"/>
      <c r="H27" s="2"/>
      <c r="I27" s="2"/>
      <c r="J27" s="2"/>
      <c r="K27" s="2"/>
    </row>
    <row r="28" spans="1:11" ht="19.5" customHeight="1">
      <c r="A28" s="2"/>
      <c r="B28" s="2"/>
      <c r="C28" s="2"/>
      <c r="D28" s="2"/>
      <c r="E28" s="2"/>
      <c r="F28" s="2"/>
      <c r="G28" s="2"/>
      <c r="H28" s="2"/>
      <c r="I28" s="2"/>
      <c r="J28" s="2"/>
      <c r="K28" s="2"/>
    </row>
    <row r="29" spans="1:11" ht="19.5" customHeight="1">
      <c r="A29" s="2"/>
      <c r="B29" s="2"/>
      <c r="C29" s="2"/>
      <c r="D29" s="2"/>
      <c r="E29" s="2"/>
      <c r="F29" s="2"/>
      <c r="G29" s="2"/>
      <c r="H29" s="2"/>
      <c r="I29" s="2"/>
      <c r="J29" s="2"/>
      <c r="K29" s="2"/>
    </row>
    <row r="30" spans="1:11" ht="19.5" customHeight="1">
      <c r="A30" s="2"/>
      <c r="B30" s="2"/>
      <c r="C30" s="2"/>
      <c r="D30" s="2"/>
      <c r="E30" s="2"/>
      <c r="F30" s="2"/>
      <c r="G30" s="2"/>
      <c r="H30" s="2"/>
      <c r="I30" s="2"/>
      <c r="J30" s="2"/>
      <c r="K30" s="2"/>
    </row>
    <row r="31" spans="1:11" ht="19.5" customHeight="1">
      <c r="A31" s="2"/>
      <c r="B31" s="2"/>
      <c r="C31" s="2"/>
      <c r="D31" s="2"/>
      <c r="E31" s="2"/>
      <c r="F31" s="2"/>
      <c r="G31" s="2"/>
      <c r="H31" s="2"/>
      <c r="I31" s="2"/>
      <c r="J31" s="2"/>
      <c r="K31" s="2"/>
    </row>
    <row r="32" spans="1:11" ht="19.5" customHeight="1">
      <c r="A32" s="2"/>
      <c r="B32" s="2"/>
      <c r="C32" s="2"/>
      <c r="D32" s="2"/>
      <c r="E32" s="2"/>
      <c r="F32" s="2"/>
      <c r="G32" s="2"/>
      <c r="H32" s="2"/>
      <c r="I32" s="2"/>
      <c r="J32" s="2"/>
      <c r="K32" s="2"/>
    </row>
    <row r="33" spans="1:11" ht="19.5" customHeight="1">
      <c r="A33" s="2"/>
      <c r="B33" s="2"/>
      <c r="C33" s="2"/>
      <c r="D33" s="2"/>
      <c r="E33" s="2"/>
      <c r="F33" s="2"/>
      <c r="G33" s="2"/>
      <c r="H33" s="2"/>
      <c r="I33" s="2"/>
      <c r="J33" s="2"/>
      <c r="K33" s="2"/>
    </row>
    <row r="34" spans="1:11" ht="19.5" customHeight="1">
      <c r="A34" s="2"/>
      <c r="B34" s="2"/>
      <c r="C34" s="2"/>
      <c r="D34" s="2"/>
      <c r="E34" s="2"/>
      <c r="F34" s="2"/>
      <c r="G34" s="2"/>
      <c r="H34" s="2"/>
      <c r="I34" s="2"/>
      <c r="J34" s="2"/>
      <c r="K34" s="2"/>
    </row>
    <row r="35" spans="1:11" ht="19.5" customHeight="1">
      <c r="A35" s="2"/>
      <c r="B35" s="2"/>
      <c r="C35" s="2"/>
      <c r="D35" s="2"/>
      <c r="E35" s="2"/>
      <c r="F35" s="2"/>
      <c r="G35" s="2"/>
      <c r="H35" s="2"/>
      <c r="I35" s="2"/>
      <c r="J35" s="2"/>
      <c r="K35" s="2"/>
    </row>
    <row r="36" spans="1:11" ht="19.5" customHeight="1">
      <c r="A36" s="2"/>
      <c r="B36" s="2"/>
      <c r="C36" s="2"/>
      <c r="D36" s="2"/>
      <c r="E36" s="2"/>
      <c r="F36" s="2"/>
      <c r="G36" s="2"/>
      <c r="H36" s="2"/>
      <c r="I36" s="2"/>
      <c r="J36" s="2"/>
      <c r="K36" s="2"/>
    </row>
    <row r="37" spans="1:11" ht="19.5" customHeight="1">
      <c r="A37" s="2"/>
      <c r="B37" s="2"/>
      <c r="C37" s="2"/>
      <c r="D37" s="2"/>
      <c r="E37" s="2"/>
      <c r="F37" s="2"/>
      <c r="G37" s="2"/>
      <c r="H37" s="2"/>
      <c r="I37" s="2"/>
      <c r="J37" s="2"/>
      <c r="K37" s="2"/>
    </row>
    <row r="38" spans="1:11" ht="19.5" customHeight="1">
      <c r="A38" s="2"/>
      <c r="B38" s="2"/>
      <c r="C38" s="2"/>
      <c r="D38" s="2"/>
      <c r="E38" s="2"/>
      <c r="F38" s="2"/>
      <c r="G38" s="2"/>
      <c r="H38" s="2"/>
      <c r="I38" s="2"/>
      <c r="J38" s="2"/>
      <c r="K38" s="2"/>
    </row>
    <row r="39" spans="1:11" ht="19.5" customHeight="1">
      <c r="A39" s="2"/>
      <c r="B39" s="2"/>
      <c r="C39" s="2"/>
      <c r="D39" s="2"/>
      <c r="E39" s="2"/>
      <c r="F39" s="2"/>
      <c r="G39" s="2"/>
      <c r="H39" s="2"/>
      <c r="I39" s="2"/>
      <c r="J39" s="2"/>
      <c r="K39" s="2"/>
    </row>
    <row r="40" spans="1:11" ht="19.5" customHeight="1">
      <c r="A40" s="2"/>
      <c r="B40" s="2"/>
      <c r="C40" s="2"/>
      <c r="D40" s="2"/>
      <c r="E40" s="2"/>
      <c r="F40" s="2"/>
      <c r="G40" s="2"/>
      <c r="H40" s="2"/>
      <c r="I40" s="2"/>
      <c r="J40" s="2"/>
      <c r="K40" s="2"/>
    </row>
    <row r="41" spans="1:11" ht="19.5" customHeight="1">
      <c r="A41" s="2"/>
      <c r="B41" s="2"/>
      <c r="C41" s="2"/>
      <c r="D41" s="2"/>
      <c r="E41" s="2"/>
      <c r="F41" s="2"/>
      <c r="G41" s="2"/>
      <c r="H41" s="2"/>
      <c r="I41" s="2"/>
      <c r="J41" s="2"/>
      <c r="K41" s="2"/>
    </row>
    <row r="42" spans="1:11" ht="19.5" customHeight="1">
      <c r="A42" s="2"/>
      <c r="B42" s="2"/>
      <c r="C42" s="2"/>
      <c r="D42" s="2"/>
      <c r="E42" s="2"/>
      <c r="F42" s="2"/>
      <c r="G42" s="2"/>
      <c r="H42" s="2"/>
      <c r="I42" s="2"/>
      <c r="J42" s="2"/>
      <c r="K42" s="2"/>
    </row>
    <row r="43" spans="1:11" ht="19.5" customHeight="1">
      <c r="A43" s="2"/>
      <c r="B43" s="2"/>
      <c r="C43" s="2"/>
      <c r="D43" s="2"/>
      <c r="E43" s="2"/>
      <c r="F43" s="2"/>
      <c r="G43" s="2"/>
      <c r="H43" s="2"/>
      <c r="I43" s="2"/>
      <c r="J43" s="2"/>
      <c r="K43" s="2"/>
    </row>
    <row r="44" spans="1:11" ht="19.5" customHeight="1">
      <c r="A44" s="2"/>
      <c r="B44" s="2"/>
      <c r="C44" s="2"/>
      <c r="D44" s="2"/>
      <c r="E44" s="2"/>
      <c r="F44" s="2"/>
      <c r="G44" s="2"/>
      <c r="H44" s="2"/>
      <c r="I44" s="2"/>
      <c r="J44" s="2"/>
      <c r="K44" s="2"/>
    </row>
    <row r="45" spans="1:11" ht="19.5" customHeight="1">
      <c r="A45" s="2"/>
      <c r="B45" s="2"/>
      <c r="C45" s="2"/>
      <c r="D45" s="2"/>
      <c r="E45" s="2"/>
      <c r="F45" s="2"/>
      <c r="G45" s="2"/>
      <c r="H45" s="2"/>
      <c r="I45" s="2"/>
      <c r="J45" s="2"/>
      <c r="K45" s="2"/>
    </row>
    <row r="46" spans="1:11" ht="19.5" customHeight="1">
      <c r="A46" s="2"/>
      <c r="B46" s="2"/>
      <c r="C46" s="2"/>
      <c r="D46" s="2"/>
      <c r="E46" s="2"/>
      <c r="F46" s="2"/>
      <c r="G46" s="2"/>
      <c r="H46" s="2"/>
      <c r="I46" s="2"/>
      <c r="J46" s="2"/>
      <c r="K46" s="2"/>
    </row>
    <row r="47" spans="1:11" ht="19.5" customHeight="1">
      <c r="A47" s="2"/>
      <c r="B47" s="2"/>
      <c r="C47" s="2"/>
      <c r="D47" s="2"/>
      <c r="E47" s="2"/>
      <c r="F47" s="2"/>
      <c r="G47" s="2"/>
      <c r="H47" s="2"/>
      <c r="I47" s="2"/>
      <c r="J47" s="2"/>
      <c r="K47" s="2"/>
    </row>
    <row r="48" spans="1:11" ht="19.5" customHeight="1">
      <c r="A48" s="2"/>
      <c r="B48" s="2"/>
      <c r="C48" s="2"/>
      <c r="D48" s="2"/>
      <c r="E48" s="2"/>
      <c r="F48" s="2"/>
      <c r="G48" s="2"/>
      <c r="H48" s="2"/>
      <c r="I48" s="2"/>
      <c r="J48" s="2"/>
      <c r="K48" s="2"/>
    </row>
  </sheetData>
  <mergeCells count="18">
    <mergeCell ref="A2:K5"/>
    <mergeCell ref="B20:C20"/>
    <mergeCell ref="D20:I20"/>
    <mergeCell ref="B21:C21"/>
    <mergeCell ref="D21:I21"/>
    <mergeCell ref="B17:I17"/>
    <mergeCell ref="B18:C18"/>
    <mergeCell ref="D18:I18"/>
    <mergeCell ref="B19:C19"/>
    <mergeCell ref="D19:I19"/>
    <mergeCell ref="B6:I6"/>
    <mergeCell ref="B8:I8"/>
    <mergeCell ref="B10:C14"/>
    <mergeCell ref="D10:E14"/>
    <mergeCell ref="F10:G14"/>
    <mergeCell ref="H10:I14"/>
    <mergeCell ref="B22:C22"/>
    <mergeCell ref="D22:I22"/>
  </mergeCells>
  <hyperlinks>
    <hyperlink ref="B18:C18" location="'📂 Raw Data'!A1" display="📂 Raw Data" xr:uid="{3472875E-30C6-41F4-92B7-B254E1894A1F}"/>
    <hyperlink ref="B19:C19" location="'✅ Clean Data'!A1" display="✅ Clean Data" xr:uid="{AB2D56BF-545D-424A-A261-893D894EFB0E}"/>
    <hyperlink ref="B21:C21" location="'🔍 Dept Summary'!A1" display="🔍 Dept Summary" xr:uid="{0BB76726-E0B9-4DB7-8704-284659F17409}"/>
    <hyperlink ref="B22:C22" location="'📋 Instructions'!A1" display="📋 Instructions" xr:uid="{C2B69A4E-5590-4234-90EA-040547ADC888}"/>
    <hyperlink ref="B20:C20" location="'📊 Dashboard'!A1" display="📊 Dashboard" xr:uid="{71EA382E-A809-41C5-AC5D-9DAD189D7792}"/>
  </hyperlinks>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B1:R41"/>
  <sheetViews>
    <sheetView showGridLines="0" zoomScale="85" zoomScaleNormal="85" workbookViewId="0">
      <selection activeCell="D10" sqref="D10"/>
    </sheetView>
  </sheetViews>
  <sheetFormatPr defaultColWidth="8.6640625" defaultRowHeight="14.4"/>
  <cols>
    <col min="1" max="1" width="8.21875" customWidth="1"/>
    <col min="2" max="2" width="7.88671875" customWidth="1"/>
    <col min="3" max="3" width="65.33203125" customWidth="1"/>
    <col min="4" max="4" width="132.109375" customWidth="1"/>
    <col min="5" max="5" width="38.33203125" customWidth="1"/>
  </cols>
  <sheetData>
    <row r="1" spans="2:9">
      <c r="B1" s="177"/>
      <c r="C1" s="178"/>
      <c r="D1" s="178"/>
      <c r="E1" s="179"/>
    </row>
    <row r="2" spans="2:9" ht="36" customHeight="1">
      <c r="B2" s="60"/>
      <c r="C2" s="180" t="s">
        <v>833</v>
      </c>
      <c r="D2" s="180"/>
      <c r="E2" s="63"/>
      <c r="F2" s="40"/>
      <c r="G2" s="40"/>
      <c r="H2" s="40"/>
      <c r="I2" s="40"/>
    </row>
    <row r="3" spans="2:9">
      <c r="B3" s="60"/>
      <c r="C3" s="62"/>
      <c r="D3" s="62"/>
      <c r="E3" s="63"/>
      <c r="F3" s="40"/>
      <c r="G3" s="40"/>
      <c r="H3" s="40"/>
      <c r="I3" s="40"/>
    </row>
    <row r="4" spans="2:9" ht="30" customHeight="1">
      <c r="B4" s="60"/>
      <c r="C4" s="181" t="s">
        <v>834</v>
      </c>
      <c r="D4" s="181"/>
      <c r="E4" s="63"/>
      <c r="F4" s="40"/>
      <c r="G4" s="40"/>
      <c r="H4" s="40"/>
      <c r="I4" s="40"/>
    </row>
    <row r="5" spans="2:9" ht="21.75" customHeight="1">
      <c r="B5" s="60"/>
      <c r="C5" s="56" t="s">
        <v>835</v>
      </c>
      <c r="D5" s="57" t="s">
        <v>836</v>
      </c>
      <c r="E5" s="63"/>
      <c r="F5" s="40"/>
      <c r="G5" s="40"/>
      <c r="H5" s="40"/>
      <c r="I5" s="40"/>
    </row>
    <row r="6" spans="2:9" ht="21.75" customHeight="1">
      <c r="B6" s="60"/>
      <c r="C6" s="58" t="s">
        <v>4</v>
      </c>
      <c r="D6" s="59" t="s">
        <v>837</v>
      </c>
      <c r="E6" s="63"/>
      <c r="F6" s="40"/>
      <c r="G6" s="40"/>
      <c r="H6" s="40"/>
      <c r="I6" s="40"/>
    </row>
    <row r="7" spans="2:9" ht="21.75" customHeight="1">
      <c r="B7" s="60"/>
      <c r="C7" s="56" t="s">
        <v>6</v>
      </c>
      <c r="D7" s="57" t="s">
        <v>838</v>
      </c>
      <c r="E7" s="63"/>
      <c r="F7" s="40"/>
      <c r="G7" s="40"/>
      <c r="H7" s="40"/>
      <c r="I7" s="40"/>
    </row>
    <row r="8" spans="2:9" ht="21.75" customHeight="1">
      <c r="B8" s="60"/>
      <c r="C8" s="58" t="s">
        <v>8</v>
      </c>
      <c r="D8" s="59" t="s">
        <v>839</v>
      </c>
      <c r="E8" s="63"/>
      <c r="F8" s="40"/>
      <c r="G8" s="40"/>
      <c r="H8" s="40"/>
      <c r="I8" s="40"/>
    </row>
    <row r="9" spans="2:9" ht="21.75" customHeight="1">
      <c r="B9" s="60"/>
      <c r="C9" s="56" t="s">
        <v>10</v>
      </c>
      <c r="D9" s="57" t="s">
        <v>840</v>
      </c>
      <c r="E9" s="63"/>
      <c r="F9" s="40"/>
      <c r="G9" s="40"/>
      <c r="H9" s="40"/>
      <c r="I9" s="40"/>
    </row>
    <row r="10" spans="2:9" ht="21.75" customHeight="1">
      <c r="B10" s="60"/>
      <c r="C10" s="56" t="s">
        <v>12</v>
      </c>
      <c r="D10" s="57" t="s">
        <v>841</v>
      </c>
      <c r="E10" s="63"/>
      <c r="F10" s="40"/>
      <c r="G10" s="40"/>
      <c r="H10" s="40"/>
      <c r="I10" s="40"/>
    </row>
    <row r="11" spans="2:9">
      <c r="B11" s="60"/>
      <c r="C11" s="182"/>
      <c r="D11" s="182"/>
      <c r="E11" s="63"/>
      <c r="F11" s="40"/>
      <c r="G11" s="40"/>
      <c r="H11" s="40"/>
      <c r="I11" s="40"/>
    </row>
    <row r="12" spans="2:9" ht="30" customHeight="1">
      <c r="B12" s="60"/>
      <c r="C12" s="181" t="s">
        <v>842</v>
      </c>
      <c r="D12" s="181"/>
      <c r="E12" s="63"/>
      <c r="F12" s="40"/>
      <c r="G12" s="40"/>
      <c r="H12" s="40"/>
      <c r="I12" s="40"/>
    </row>
    <row r="13" spans="2:9" ht="21.75" customHeight="1">
      <c r="B13" s="60"/>
      <c r="C13" s="56" t="s">
        <v>843</v>
      </c>
      <c r="D13" s="57" t="s">
        <v>844</v>
      </c>
      <c r="E13" s="63"/>
      <c r="F13" s="40"/>
      <c r="G13" s="40"/>
      <c r="H13" s="40"/>
      <c r="I13" s="40"/>
    </row>
    <row r="14" spans="2:9" ht="21.75" customHeight="1">
      <c r="B14" s="60"/>
      <c r="C14" s="58" t="s">
        <v>845</v>
      </c>
      <c r="D14" s="59" t="s">
        <v>846</v>
      </c>
      <c r="E14" s="63"/>
      <c r="F14" s="40"/>
      <c r="G14" s="40"/>
      <c r="H14" s="40"/>
      <c r="I14" s="40"/>
    </row>
    <row r="15" spans="2:9" ht="21.75" customHeight="1">
      <c r="B15" s="60"/>
      <c r="C15" s="56" t="s">
        <v>847</v>
      </c>
      <c r="D15" s="57" t="s">
        <v>848</v>
      </c>
      <c r="E15" s="63"/>
      <c r="F15" s="40"/>
      <c r="G15" s="40"/>
      <c r="H15" s="40"/>
      <c r="I15" s="40"/>
    </row>
    <row r="16" spans="2:9" ht="21.75" customHeight="1">
      <c r="B16" s="60"/>
      <c r="C16" s="58" t="s">
        <v>849</v>
      </c>
      <c r="D16" s="59" t="s">
        <v>850</v>
      </c>
      <c r="E16" s="63"/>
      <c r="F16" s="40"/>
      <c r="G16" s="40"/>
      <c r="H16" s="40"/>
      <c r="I16" s="40"/>
    </row>
    <row r="17" spans="2:9" ht="21.75" customHeight="1">
      <c r="B17" s="60"/>
      <c r="C17" s="56" t="s">
        <v>851</v>
      </c>
      <c r="D17" s="57" t="s">
        <v>852</v>
      </c>
      <c r="E17" s="63"/>
      <c r="F17" s="40"/>
      <c r="G17" s="40"/>
      <c r="H17" s="40"/>
      <c r="I17" s="40"/>
    </row>
    <row r="18" spans="2:9" ht="21.75" customHeight="1">
      <c r="B18" s="60"/>
      <c r="C18" s="58" t="s">
        <v>853</v>
      </c>
      <c r="D18" s="59" t="s">
        <v>854</v>
      </c>
      <c r="E18" s="63"/>
      <c r="F18" s="40"/>
      <c r="G18" s="40"/>
      <c r="H18" s="40"/>
      <c r="I18" s="40"/>
    </row>
    <row r="19" spans="2:9" ht="21.75" customHeight="1">
      <c r="B19" s="60"/>
      <c r="C19" s="56" t="s">
        <v>855</v>
      </c>
      <c r="D19" s="57" t="s">
        <v>856</v>
      </c>
      <c r="E19" s="63"/>
      <c r="F19" s="40"/>
      <c r="G19" s="40"/>
      <c r="H19" s="40"/>
      <c r="I19" s="40"/>
    </row>
    <row r="20" spans="2:9" ht="21.75" customHeight="1">
      <c r="B20" s="60"/>
      <c r="C20" s="58" t="s">
        <v>857</v>
      </c>
      <c r="D20" s="59" t="s">
        <v>858</v>
      </c>
      <c r="E20" s="63"/>
      <c r="F20" s="40"/>
      <c r="G20" s="40"/>
      <c r="H20" s="40"/>
      <c r="I20" s="40"/>
    </row>
    <row r="21" spans="2:9" ht="21.75" customHeight="1">
      <c r="B21" s="60"/>
      <c r="C21" s="56" t="s">
        <v>859</v>
      </c>
      <c r="D21" s="57" t="s">
        <v>860</v>
      </c>
      <c r="E21" s="63"/>
      <c r="F21" s="40"/>
      <c r="G21" s="40"/>
      <c r="H21" s="40"/>
      <c r="I21" s="40"/>
    </row>
    <row r="22" spans="2:9" ht="21.75" customHeight="1">
      <c r="B22" s="60"/>
      <c r="C22" s="58" t="s">
        <v>861</v>
      </c>
      <c r="D22" s="59" t="s">
        <v>862</v>
      </c>
      <c r="E22" s="63"/>
      <c r="F22" s="40"/>
      <c r="G22" s="40"/>
      <c r="H22" s="40"/>
      <c r="I22" s="40"/>
    </row>
    <row r="23" spans="2:9">
      <c r="B23" s="60"/>
      <c r="C23" s="182"/>
      <c r="D23" s="182"/>
      <c r="E23" s="63"/>
      <c r="F23" s="40"/>
      <c r="G23" s="40"/>
      <c r="H23" s="40"/>
      <c r="I23" s="40"/>
    </row>
    <row r="24" spans="2:9" ht="30" customHeight="1">
      <c r="B24" s="60"/>
      <c r="C24" s="181" t="s">
        <v>863</v>
      </c>
      <c r="D24" s="181"/>
      <c r="E24" s="63"/>
      <c r="F24" s="40"/>
      <c r="G24" s="40"/>
      <c r="H24" s="40"/>
      <c r="I24" s="40"/>
    </row>
    <row r="25" spans="2:9" ht="21.75" customHeight="1">
      <c r="B25" s="60"/>
      <c r="C25" s="56" t="s">
        <v>864</v>
      </c>
      <c r="D25" s="57" t="s">
        <v>865</v>
      </c>
      <c r="E25" s="63"/>
      <c r="F25" s="40"/>
      <c r="G25" s="40"/>
      <c r="H25" s="40"/>
      <c r="I25" s="40"/>
    </row>
    <row r="26" spans="2:9" ht="21.75" customHeight="1">
      <c r="B26" s="60"/>
      <c r="C26" s="58" t="s">
        <v>866</v>
      </c>
      <c r="D26" s="59" t="s">
        <v>867</v>
      </c>
      <c r="E26" s="63"/>
      <c r="F26" s="40"/>
      <c r="G26" s="40"/>
      <c r="H26" s="40"/>
      <c r="I26" s="40"/>
    </row>
    <row r="27" spans="2:9" ht="21.75" customHeight="1">
      <c r="B27" s="60"/>
      <c r="C27" s="56" t="s">
        <v>821</v>
      </c>
      <c r="D27" s="57" t="s">
        <v>868</v>
      </c>
      <c r="E27" s="63"/>
      <c r="F27" s="40"/>
      <c r="G27" s="40"/>
      <c r="H27" s="40"/>
      <c r="I27" s="40"/>
    </row>
    <row r="28" spans="2:9" ht="21.75" customHeight="1">
      <c r="B28" s="60"/>
      <c r="C28" s="58" t="s">
        <v>824</v>
      </c>
      <c r="D28" s="59" t="s">
        <v>869</v>
      </c>
      <c r="E28" s="63"/>
      <c r="F28" s="40"/>
      <c r="G28" s="40"/>
      <c r="H28" s="40"/>
      <c r="I28" s="40"/>
    </row>
    <row r="29" spans="2:9" ht="21.75" customHeight="1">
      <c r="B29" s="60"/>
      <c r="C29" s="56" t="s">
        <v>870</v>
      </c>
      <c r="D29" s="57" t="s">
        <v>871</v>
      </c>
      <c r="E29" s="63"/>
      <c r="F29" s="40"/>
      <c r="G29" s="40"/>
      <c r="H29" s="40"/>
      <c r="I29" s="40"/>
    </row>
    <row r="30" spans="2:9" ht="21.75" customHeight="1">
      <c r="B30" s="60"/>
      <c r="C30" s="58" t="s">
        <v>825</v>
      </c>
      <c r="D30" s="59" t="s">
        <v>872</v>
      </c>
      <c r="E30" s="63"/>
      <c r="F30" s="40"/>
      <c r="G30" s="40"/>
      <c r="H30" s="40"/>
      <c r="I30" s="40"/>
    </row>
    <row r="31" spans="2:9" ht="21.75" customHeight="1">
      <c r="B31" s="60"/>
      <c r="C31" s="56" t="s">
        <v>873</v>
      </c>
      <c r="D31" s="57" t="s">
        <v>874</v>
      </c>
      <c r="E31" s="63"/>
      <c r="F31" s="40"/>
      <c r="G31" s="40"/>
      <c r="H31" s="40"/>
      <c r="I31" s="40"/>
    </row>
    <row r="32" spans="2:9">
      <c r="B32" s="60"/>
      <c r="C32" s="182"/>
      <c r="D32" s="182"/>
      <c r="E32" s="63"/>
      <c r="F32" s="40"/>
      <c r="G32" s="40"/>
      <c r="H32" s="40"/>
      <c r="I32" s="40"/>
    </row>
    <row r="33" spans="2:18" ht="30" customHeight="1">
      <c r="B33" s="60"/>
      <c r="C33" s="181" t="s">
        <v>875</v>
      </c>
      <c r="D33" s="181"/>
      <c r="E33" s="63"/>
      <c r="F33" s="40"/>
      <c r="G33" s="40"/>
      <c r="H33" s="40"/>
      <c r="I33" s="40"/>
    </row>
    <row r="34" spans="2:18" ht="21.75" customHeight="1">
      <c r="B34" s="60"/>
      <c r="C34" s="36" t="s">
        <v>876</v>
      </c>
      <c r="D34" s="37" t="s">
        <v>877</v>
      </c>
      <c r="E34" s="64"/>
    </row>
    <row r="35" spans="2:18" ht="21.75" customHeight="1">
      <c r="B35" s="60"/>
      <c r="C35" s="38" t="s">
        <v>878</v>
      </c>
      <c r="D35" s="39" t="s">
        <v>879</v>
      </c>
      <c r="E35" s="64"/>
    </row>
    <row r="36" spans="2:18" ht="21.75" customHeight="1">
      <c r="B36" s="60"/>
      <c r="C36" s="36" t="s">
        <v>880</v>
      </c>
      <c r="D36" s="37" t="s">
        <v>881</v>
      </c>
      <c r="E36" s="64"/>
    </row>
    <row r="37" spans="2:18" ht="21.75" customHeight="1">
      <c r="B37" s="60"/>
      <c r="C37" s="38" t="s">
        <v>882</v>
      </c>
      <c r="D37" s="39" t="s">
        <v>883</v>
      </c>
      <c r="E37" s="64"/>
    </row>
    <row r="38" spans="2:18" ht="21.75" customHeight="1">
      <c r="B38" s="60"/>
      <c r="C38" s="36" t="s">
        <v>884</v>
      </c>
      <c r="D38" s="37" t="s">
        <v>885</v>
      </c>
      <c r="E38" s="64"/>
    </row>
    <row r="39" spans="2:18" ht="21.75" customHeight="1">
      <c r="B39" s="60"/>
      <c r="C39" s="38" t="s">
        <v>886</v>
      </c>
      <c r="D39" s="39" t="s">
        <v>887</v>
      </c>
      <c r="E39" s="64"/>
    </row>
    <row r="40" spans="2:18" ht="22.8" customHeight="1" thickBot="1">
      <c r="B40" s="61"/>
      <c r="C40" s="176"/>
      <c r="D40" s="176"/>
      <c r="E40" s="65"/>
    </row>
    <row r="41" spans="2:18" ht="19.5" customHeight="1">
      <c r="C41" s="42"/>
      <c r="D41" s="42"/>
      <c r="E41" s="42"/>
      <c r="F41" s="42"/>
      <c r="G41" s="42"/>
      <c r="H41" s="42"/>
      <c r="I41" s="42"/>
      <c r="J41" s="42"/>
      <c r="K41" s="42"/>
      <c r="L41" s="42"/>
      <c r="M41" s="42"/>
      <c r="N41" s="42"/>
      <c r="O41" s="42"/>
      <c r="P41" s="42"/>
      <c r="Q41" s="42"/>
      <c r="R41" s="42"/>
    </row>
  </sheetData>
  <mergeCells count="10">
    <mergeCell ref="C40:D40"/>
    <mergeCell ref="B1:E1"/>
    <mergeCell ref="C2:D2"/>
    <mergeCell ref="C4:D4"/>
    <mergeCell ref="C12:D12"/>
    <mergeCell ref="C24:D24"/>
    <mergeCell ref="C33:D33"/>
    <mergeCell ref="C11:D11"/>
    <mergeCell ref="C23:D23"/>
    <mergeCell ref="C32:D32"/>
  </mergeCells>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A354"/>
  <sheetViews>
    <sheetView showGridLines="0" topLeftCell="B1" zoomScale="79" zoomScaleNormal="100" workbookViewId="0">
      <pane ySplit="2" topLeftCell="A3" activePane="bottomLeft" state="frozen"/>
      <selection pane="bottomLeft" sqref="A1:R1"/>
    </sheetView>
  </sheetViews>
  <sheetFormatPr defaultColWidth="8.6640625" defaultRowHeight="14.4"/>
  <cols>
    <col min="1" max="1" width="12" customWidth="1"/>
    <col min="2" max="2" width="22" customWidth="1"/>
    <col min="3" max="3" width="6" customWidth="1"/>
    <col min="4" max="4" width="10" customWidth="1"/>
    <col min="5" max="5" width="14" customWidth="1"/>
    <col min="6" max="6" width="20" customWidth="1"/>
    <col min="7" max="7" width="18" customWidth="1"/>
    <col min="8" max="8" width="12" customWidth="1"/>
    <col min="9" max="9" width="16" customWidth="1"/>
    <col min="10" max="10" width="12" customWidth="1"/>
    <col min="11" max="11" width="14" customWidth="1"/>
    <col min="12" max="12" width="12" customWidth="1"/>
    <col min="13" max="14" width="14" customWidth="1"/>
    <col min="15" max="15" width="16" customWidth="1"/>
    <col min="16" max="17" width="18" customWidth="1"/>
    <col min="18" max="18" width="16" customWidth="1"/>
  </cols>
  <sheetData>
    <row r="1" spans="1:27" ht="30" customHeight="1">
      <c r="A1" s="186" t="s">
        <v>14</v>
      </c>
      <c r="B1" s="186"/>
      <c r="C1" s="186"/>
      <c r="D1" s="186"/>
      <c r="E1" s="186"/>
      <c r="F1" s="186"/>
      <c r="G1" s="186"/>
      <c r="H1" s="186"/>
      <c r="I1" s="186"/>
      <c r="J1" s="186"/>
      <c r="K1" s="186"/>
      <c r="L1" s="186"/>
      <c r="M1" s="186"/>
      <c r="N1" s="186"/>
      <c r="O1" s="186"/>
      <c r="P1" s="186"/>
      <c r="Q1" s="186"/>
      <c r="R1" s="186"/>
      <c r="S1" s="94"/>
      <c r="T1" s="94"/>
      <c r="U1" s="94"/>
      <c r="V1" s="94"/>
      <c r="W1" s="94"/>
      <c r="X1" s="94"/>
      <c r="Y1" s="94"/>
      <c r="Z1" s="94"/>
      <c r="AA1" s="94"/>
    </row>
    <row r="2" spans="1:27" ht="34.5" customHeight="1">
      <c r="A2" s="3" t="s">
        <v>15</v>
      </c>
      <c r="B2" s="3" t="s">
        <v>16</v>
      </c>
      <c r="C2" s="3" t="s">
        <v>17</v>
      </c>
      <c r="D2" s="3" t="s">
        <v>18</v>
      </c>
      <c r="E2" s="3" t="s">
        <v>19</v>
      </c>
      <c r="F2" s="3" t="s">
        <v>20</v>
      </c>
      <c r="G2" s="3" t="s">
        <v>21</v>
      </c>
      <c r="H2" s="3" t="s">
        <v>22</v>
      </c>
      <c r="I2" s="3" t="s">
        <v>23</v>
      </c>
      <c r="J2" s="3" t="s">
        <v>24</v>
      </c>
      <c r="K2" s="3" t="s">
        <v>25</v>
      </c>
      <c r="L2" s="3" t="s">
        <v>26</v>
      </c>
      <c r="M2" s="3" t="s">
        <v>27</v>
      </c>
      <c r="N2" s="3" t="s">
        <v>28</v>
      </c>
      <c r="O2" s="3" t="s">
        <v>29</v>
      </c>
      <c r="P2" s="3" t="s">
        <v>30</v>
      </c>
      <c r="Q2" s="3" t="s">
        <v>31</v>
      </c>
      <c r="R2" s="92" t="s">
        <v>32</v>
      </c>
      <c r="S2" s="94"/>
      <c r="T2" s="94"/>
      <c r="U2" s="94"/>
      <c r="V2" s="94"/>
      <c r="W2" s="94"/>
      <c r="X2" s="94"/>
      <c r="Y2" s="94"/>
      <c r="Z2" s="94"/>
      <c r="AA2" s="94"/>
    </row>
    <row r="3" spans="1:27" ht="18" customHeight="1">
      <c r="A3" s="4" t="s">
        <v>33</v>
      </c>
      <c r="B3" s="4" t="s">
        <v>34</v>
      </c>
      <c r="C3" s="4">
        <v>45</v>
      </c>
      <c r="D3" s="4" t="s">
        <v>35</v>
      </c>
      <c r="E3" s="5" t="s">
        <v>36</v>
      </c>
      <c r="F3" s="4" t="s">
        <v>37</v>
      </c>
      <c r="G3" s="4" t="s">
        <v>38</v>
      </c>
      <c r="H3" s="4" t="s">
        <v>39</v>
      </c>
      <c r="I3" s="4"/>
      <c r="J3" s="4">
        <v>25739</v>
      </c>
      <c r="K3" s="4">
        <v>10830</v>
      </c>
      <c r="L3" s="4">
        <v>2152</v>
      </c>
      <c r="M3" s="4">
        <v>7119</v>
      </c>
      <c r="N3" s="4"/>
      <c r="O3" s="4">
        <v>-24</v>
      </c>
      <c r="P3" s="4">
        <v>67</v>
      </c>
      <c r="Q3" s="4" t="s">
        <v>40</v>
      </c>
      <c r="R3" s="93" t="s">
        <v>41</v>
      </c>
      <c r="S3" s="94"/>
      <c r="T3" s="94"/>
      <c r="U3" s="94"/>
      <c r="V3" s="94"/>
      <c r="W3" s="94"/>
      <c r="X3" s="94"/>
      <c r="Y3" s="94"/>
      <c r="Z3" s="94"/>
      <c r="AA3" s="94"/>
    </row>
    <row r="4" spans="1:27" ht="18" customHeight="1">
      <c r="A4" s="7" t="s">
        <v>42</v>
      </c>
      <c r="B4" s="7" t="s">
        <v>43</v>
      </c>
      <c r="C4" s="7">
        <v>22</v>
      </c>
      <c r="D4" s="7" t="s">
        <v>44</v>
      </c>
      <c r="E4" s="8" t="s">
        <v>45</v>
      </c>
      <c r="F4" s="7" t="s">
        <v>46</v>
      </c>
      <c r="G4" s="9">
        <v>43045</v>
      </c>
      <c r="H4" s="7" t="s">
        <v>47</v>
      </c>
      <c r="I4" s="7">
        <v>114192</v>
      </c>
      <c r="J4" s="7">
        <v>43899</v>
      </c>
      <c r="K4" s="7">
        <v>3040</v>
      </c>
      <c r="L4" s="7">
        <v>3152</v>
      </c>
      <c r="M4" s="7">
        <v>4126</v>
      </c>
      <c r="N4" s="7">
        <v>160157</v>
      </c>
      <c r="O4" s="7">
        <v>24</v>
      </c>
      <c r="P4" s="7">
        <v>69</v>
      </c>
      <c r="Q4" s="7" t="s">
        <v>48</v>
      </c>
      <c r="R4" s="10" t="s">
        <v>49</v>
      </c>
      <c r="S4" s="94"/>
      <c r="T4" s="94"/>
      <c r="U4" s="94"/>
      <c r="V4" s="94"/>
      <c r="W4" s="94"/>
      <c r="X4" s="94"/>
      <c r="Y4" s="94"/>
      <c r="Z4" s="94"/>
      <c r="AA4" s="94"/>
    </row>
    <row r="5" spans="1:27" ht="18" customHeight="1">
      <c r="A5" s="4" t="s">
        <v>50</v>
      </c>
      <c r="B5" s="4" t="s">
        <v>51</v>
      </c>
      <c r="C5" s="4">
        <v>54</v>
      </c>
      <c r="D5" s="4" t="s">
        <v>52</v>
      </c>
      <c r="E5" s="11" t="s">
        <v>53</v>
      </c>
      <c r="F5" s="4" t="s">
        <v>54</v>
      </c>
      <c r="G5" s="12">
        <v>42504</v>
      </c>
      <c r="H5" s="4" t="s">
        <v>55</v>
      </c>
      <c r="I5" s="4">
        <v>45730</v>
      </c>
      <c r="J5" s="4">
        <v>17869</v>
      </c>
      <c r="K5" s="4">
        <v>13830</v>
      </c>
      <c r="L5" s="4">
        <v>7174</v>
      </c>
      <c r="M5" s="4">
        <v>6895</v>
      </c>
      <c r="N5" s="4">
        <v>77708</v>
      </c>
      <c r="O5" s="4">
        <v>19</v>
      </c>
      <c r="P5" s="4">
        <v>72</v>
      </c>
      <c r="Q5" s="4" t="s">
        <v>48</v>
      </c>
      <c r="R5" s="10" t="s">
        <v>49</v>
      </c>
      <c r="S5" s="94"/>
      <c r="T5" s="94"/>
      <c r="U5" s="94"/>
      <c r="V5" s="94"/>
      <c r="W5" s="94"/>
      <c r="X5" s="94"/>
      <c r="Y5" s="94"/>
      <c r="Z5" s="94"/>
      <c r="AA5" s="94"/>
    </row>
    <row r="6" spans="1:27" ht="18" customHeight="1">
      <c r="A6" s="7" t="s">
        <v>56</v>
      </c>
      <c r="B6" s="7" t="s">
        <v>57</v>
      </c>
      <c r="C6" s="7">
        <v>53</v>
      </c>
      <c r="D6" s="7" t="s">
        <v>44</v>
      </c>
      <c r="E6" s="10" t="s">
        <v>58</v>
      </c>
      <c r="F6" s="7" t="s">
        <v>59</v>
      </c>
      <c r="G6" s="9">
        <v>42911</v>
      </c>
      <c r="H6" s="7" t="s">
        <v>55</v>
      </c>
      <c r="I6" s="7">
        <v>46174</v>
      </c>
      <c r="J6" s="7">
        <v>18833</v>
      </c>
      <c r="K6" s="7">
        <v>14757</v>
      </c>
      <c r="L6" s="7">
        <v>7556</v>
      </c>
      <c r="M6" s="7">
        <v>5344</v>
      </c>
      <c r="N6" s="7">
        <v>81976</v>
      </c>
      <c r="O6" s="7">
        <v>15</v>
      </c>
      <c r="P6" s="7">
        <v>78</v>
      </c>
      <c r="Q6" s="7" t="s">
        <v>60</v>
      </c>
      <c r="R6" s="6" t="s">
        <v>41</v>
      </c>
      <c r="S6" s="94"/>
      <c r="T6" s="94"/>
      <c r="U6" s="94"/>
      <c r="V6" s="94"/>
      <c r="W6" s="94"/>
      <c r="X6" s="94"/>
      <c r="Y6" s="94"/>
      <c r="Z6" s="94"/>
      <c r="AA6" s="94"/>
    </row>
    <row r="7" spans="1:27" ht="18" customHeight="1">
      <c r="A7" s="4" t="s">
        <v>61</v>
      </c>
      <c r="B7" s="4" t="s">
        <v>62</v>
      </c>
      <c r="C7" s="4">
        <v>32</v>
      </c>
      <c r="D7" s="4" t="s">
        <v>44</v>
      </c>
      <c r="E7" s="13" t="s">
        <v>63</v>
      </c>
      <c r="F7" s="4" t="s">
        <v>64</v>
      </c>
      <c r="G7" s="12">
        <v>43376</v>
      </c>
      <c r="H7" s="4" t="s">
        <v>65</v>
      </c>
      <c r="I7" s="4">
        <v>36226</v>
      </c>
      <c r="J7" s="4">
        <v>16171</v>
      </c>
      <c r="K7" s="4">
        <v>3133</v>
      </c>
      <c r="L7" s="4">
        <v>6230</v>
      </c>
      <c r="M7" s="4">
        <v>5363</v>
      </c>
      <c r="N7" s="4">
        <v>56397</v>
      </c>
      <c r="O7" s="4">
        <v>17</v>
      </c>
      <c r="P7" s="4">
        <v>48</v>
      </c>
      <c r="Q7" s="4" t="s">
        <v>66</v>
      </c>
      <c r="R7" s="13" t="s">
        <v>67</v>
      </c>
      <c r="S7" s="94"/>
      <c r="T7" s="94"/>
      <c r="U7" s="94"/>
      <c r="V7" s="94"/>
      <c r="W7" s="94"/>
      <c r="X7" s="94"/>
      <c r="Y7" s="94"/>
      <c r="Z7" s="94"/>
      <c r="AA7" s="94"/>
    </row>
    <row r="8" spans="1:27" ht="18" customHeight="1">
      <c r="A8" s="7" t="s">
        <v>68</v>
      </c>
      <c r="B8" s="7" t="s">
        <v>69</v>
      </c>
      <c r="C8" s="7">
        <v>43</v>
      </c>
      <c r="D8" s="7" t="s">
        <v>52</v>
      </c>
      <c r="E8" s="13" t="s">
        <v>63</v>
      </c>
      <c r="F8" s="7" t="s">
        <v>70</v>
      </c>
      <c r="G8" s="9">
        <v>43668</v>
      </c>
      <c r="H8" s="7" t="s">
        <v>55</v>
      </c>
      <c r="I8" s="7">
        <v>110180</v>
      </c>
      <c r="J8" s="7">
        <v>41283</v>
      </c>
      <c r="K8" s="7">
        <v>10479</v>
      </c>
      <c r="L8" s="7">
        <v>3698</v>
      </c>
      <c r="M8" s="7">
        <v>1991</v>
      </c>
      <c r="N8" s="7">
        <v>163649</v>
      </c>
      <c r="O8" s="7">
        <v>18</v>
      </c>
      <c r="P8" s="7">
        <v>54</v>
      </c>
      <c r="Q8" s="7" t="s">
        <v>48</v>
      </c>
      <c r="R8" s="13" t="s">
        <v>67</v>
      </c>
      <c r="S8" s="94"/>
      <c r="T8" s="94"/>
      <c r="U8" s="94"/>
      <c r="V8" s="94"/>
      <c r="W8" s="94"/>
      <c r="X8" s="94"/>
      <c r="Y8" s="94"/>
      <c r="Z8" s="94"/>
      <c r="AA8" s="94"/>
    </row>
    <row r="9" spans="1:27" ht="18" customHeight="1">
      <c r="A9" s="4" t="s">
        <v>71</v>
      </c>
      <c r="B9" s="4" t="s">
        <v>72</v>
      </c>
      <c r="C9" s="4">
        <v>39</v>
      </c>
      <c r="D9" s="4" t="s">
        <v>52</v>
      </c>
      <c r="E9" s="13" t="s">
        <v>63</v>
      </c>
      <c r="F9" s="4" t="s">
        <v>64</v>
      </c>
      <c r="G9" s="12">
        <v>42725</v>
      </c>
      <c r="H9" s="4" t="s">
        <v>47</v>
      </c>
      <c r="I9" s="4">
        <v>32716</v>
      </c>
      <c r="J9" s="4">
        <v>11313</v>
      </c>
      <c r="K9" s="4">
        <v>2514</v>
      </c>
      <c r="L9" s="4">
        <v>7042</v>
      </c>
      <c r="M9" s="4">
        <v>3706</v>
      </c>
      <c r="N9" s="4">
        <v>49879</v>
      </c>
      <c r="O9" s="4">
        <v>16</v>
      </c>
      <c r="P9" s="4">
        <v>72</v>
      </c>
      <c r="Q9" s="4" t="s">
        <v>73</v>
      </c>
      <c r="R9" s="6" t="s">
        <v>41</v>
      </c>
      <c r="S9" s="94"/>
      <c r="T9" s="94"/>
      <c r="U9" s="94"/>
      <c r="V9" s="94"/>
      <c r="W9" s="94"/>
      <c r="X9" s="94"/>
      <c r="Y9" s="94"/>
      <c r="Z9" s="94"/>
      <c r="AA9" s="94"/>
    </row>
    <row r="10" spans="1:27" ht="18" customHeight="1">
      <c r="A10" s="7" t="s">
        <v>74</v>
      </c>
      <c r="B10" s="7" t="s">
        <v>75</v>
      </c>
      <c r="C10" s="7">
        <v>51</v>
      </c>
      <c r="D10" s="7" t="s">
        <v>44</v>
      </c>
      <c r="E10" s="14" t="s">
        <v>76</v>
      </c>
      <c r="F10" s="7" t="s">
        <v>77</v>
      </c>
      <c r="G10" s="9">
        <v>43338</v>
      </c>
      <c r="H10" s="7" t="s">
        <v>78</v>
      </c>
      <c r="I10" s="7">
        <v>78354</v>
      </c>
      <c r="J10" s="7">
        <v>26490</v>
      </c>
      <c r="K10" s="7">
        <v>3588</v>
      </c>
      <c r="L10" s="7">
        <v>5398</v>
      </c>
      <c r="M10" s="7">
        <v>4531</v>
      </c>
      <c r="N10" s="7">
        <v>109299</v>
      </c>
      <c r="O10" s="7">
        <v>20</v>
      </c>
      <c r="P10" s="7">
        <v>67</v>
      </c>
      <c r="Q10" s="7" t="s">
        <v>40</v>
      </c>
      <c r="R10" s="10" t="s">
        <v>49</v>
      </c>
      <c r="S10" s="94"/>
      <c r="T10" s="94"/>
      <c r="U10" s="94"/>
      <c r="V10" s="94"/>
      <c r="W10" s="94"/>
      <c r="X10" s="94"/>
      <c r="Y10" s="94"/>
      <c r="Z10" s="94"/>
      <c r="AA10" s="94"/>
    </row>
    <row r="11" spans="1:27" ht="18" customHeight="1">
      <c r="A11" s="4" t="s">
        <v>79</v>
      </c>
      <c r="B11" s="4" t="s">
        <v>80</v>
      </c>
      <c r="C11" s="4">
        <v>37</v>
      </c>
      <c r="D11" s="4" t="s">
        <v>44</v>
      </c>
      <c r="E11" s="8" t="s">
        <v>45</v>
      </c>
      <c r="F11" s="4" t="s">
        <v>81</v>
      </c>
      <c r="G11" s="12">
        <v>43869</v>
      </c>
      <c r="H11" s="4" t="s">
        <v>78</v>
      </c>
      <c r="I11" s="4">
        <v>50112</v>
      </c>
      <c r="J11" s="4">
        <v>16940</v>
      </c>
      <c r="K11" s="4">
        <v>9350</v>
      </c>
      <c r="L11" s="4">
        <v>1148</v>
      </c>
      <c r="M11" s="4">
        <v>4456</v>
      </c>
      <c r="N11" s="4">
        <v>73094</v>
      </c>
      <c r="O11" s="4">
        <v>17</v>
      </c>
      <c r="P11" s="4">
        <v>57</v>
      </c>
      <c r="Q11" s="4" t="s">
        <v>48</v>
      </c>
      <c r="R11" s="6" t="s">
        <v>41</v>
      </c>
      <c r="S11" s="94"/>
      <c r="T11" s="94"/>
      <c r="U11" s="94"/>
      <c r="V11" s="94"/>
      <c r="W11" s="94"/>
      <c r="X11" s="94"/>
      <c r="Y11" s="94"/>
      <c r="Z11" s="94"/>
      <c r="AA11" s="94"/>
    </row>
    <row r="12" spans="1:27" ht="18" customHeight="1">
      <c r="A12" s="7" t="s">
        <v>82</v>
      </c>
      <c r="B12" s="7" t="s">
        <v>83</v>
      </c>
      <c r="C12" s="7">
        <v>32</v>
      </c>
      <c r="D12" s="7" t="s">
        <v>52</v>
      </c>
      <c r="E12" s="8" t="s">
        <v>45</v>
      </c>
      <c r="F12" s="7" t="s">
        <v>46</v>
      </c>
      <c r="G12" s="9">
        <v>44929</v>
      </c>
      <c r="H12" s="7" t="s">
        <v>84</v>
      </c>
      <c r="I12" s="7">
        <v>55982</v>
      </c>
      <c r="J12" s="7">
        <v>18657</v>
      </c>
      <c r="K12" s="7">
        <v>9956</v>
      </c>
      <c r="L12" s="7">
        <v>3943</v>
      </c>
      <c r="M12" s="7">
        <v>2751</v>
      </c>
      <c r="N12" s="7">
        <v>85787</v>
      </c>
      <c r="O12" s="7">
        <v>21</v>
      </c>
      <c r="P12" s="7">
        <v>97</v>
      </c>
      <c r="Q12" s="7" t="s">
        <v>66</v>
      </c>
      <c r="R12" s="6" t="s">
        <v>41</v>
      </c>
      <c r="S12" s="94"/>
      <c r="T12" s="94"/>
      <c r="U12" s="94"/>
      <c r="V12" s="94"/>
      <c r="W12" s="94"/>
      <c r="X12" s="94"/>
      <c r="Y12" s="94"/>
      <c r="Z12" s="94"/>
      <c r="AA12" s="94"/>
    </row>
    <row r="13" spans="1:27" ht="18" customHeight="1">
      <c r="A13" s="4" t="s">
        <v>85</v>
      </c>
      <c r="B13" s="4" t="s">
        <v>86</v>
      </c>
      <c r="C13" s="4">
        <v>42</v>
      </c>
      <c r="D13" s="4" t="s">
        <v>52</v>
      </c>
      <c r="E13" s="11" t="s">
        <v>53</v>
      </c>
      <c r="F13" s="4" t="s">
        <v>87</v>
      </c>
      <c r="G13" s="12">
        <v>45253</v>
      </c>
      <c r="H13" s="4" t="s">
        <v>55</v>
      </c>
      <c r="I13" s="4">
        <v>88788</v>
      </c>
      <c r="J13" s="4">
        <v>29385</v>
      </c>
      <c r="K13" s="4">
        <v>6861</v>
      </c>
      <c r="L13" s="4">
        <v>1783</v>
      </c>
      <c r="M13" s="4">
        <v>1479</v>
      </c>
      <c r="N13" s="4">
        <v>125338</v>
      </c>
      <c r="O13" s="4">
        <v>24</v>
      </c>
      <c r="P13" s="4">
        <v>87</v>
      </c>
      <c r="Q13" s="4" t="s">
        <v>48</v>
      </c>
      <c r="R13" s="6" t="s">
        <v>41</v>
      </c>
      <c r="S13" s="94"/>
      <c r="T13" s="94"/>
      <c r="U13" s="94"/>
      <c r="V13" s="94"/>
      <c r="W13" s="94"/>
      <c r="X13" s="94"/>
      <c r="Y13" s="94"/>
      <c r="Z13" s="94"/>
      <c r="AA13" s="94"/>
    </row>
    <row r="14" spans="1:27" ht="18" customHeight="1">
      <c r="A14" s="7" t="s">
        <v>88</v>
      </c>
      <c r="B14" s="7" t="s">
        <v>89</v>
      </c>
      <c r="C14" s="7">
        <v>24</v>
      </c>
      <c r="D14" s="7" t="s">
        <v>52</v>
      </c>
      <c r="E14" s="10" t="s">
        <v>58</v>
      </c>
      <c r="F14" s="7" t="s">
        <v>59</v>
      </c>
      <c r="G14" s="9">
        <v>42250</v>
      </c>
      <c r="H14" s="7" t="s">
        <v>90</v>
      </c>
      <c r="I14" s="7">
        <v>49356</v>
      </c>
      <c r="J14" s="7">
        <v>15483</v>
      </c>
      <c r="K14" s="7">
        <v>3113</v>
      </c>
      <c r="L14" s="7">
        <v>5531</v>
      </c>
      <c r="M14" s="7">
        <v>2926</v>
      </c>
      <c r="N14" s="7">
        <v>70557</v>
      </c>
      <c r="O14" s="7">
        <v>21</v>
      </c>
      <c r="P14" s="7">
        <v>47</v>
      </c>
      <c r="Q14" s="7" t="s">
        <v>48</v>
      </c>
      <c r="R14" s="6" t="s">
        <v>41</v>
      </c>
      <c r="S14" s="94"/>
      <c r="T14" s="94"/>
      <c r="U14" s="94"/>
      <c r="V14" s="94"/>
      <c r="W14" s="94"/>
      <c r="X14" s="94"/>
      <c r="Y14" s="94"/>
      <c r="Z14" s="94"/>
      <c r="AA14" s="94"/>
    </row>
    <row r="15" spans="1:27" ht="18" customHeight="1">
      <c r="A15" s="4" t="s">
        <v>91</v>
      </c>
      <c r="B15" s="4" t="s">
        <v>92</v>
      </c>
      <c r="C15" s="4">
        <v>51</v>
      </c>
      <c r="D15" s="4" t="s">
        <v>44</v>
      </c>
      <c r="E15" s="10" t="s">
        <v>58</v>
      </c>
      <c r="F15" s="4" t="s">
        <v>93</v>
      </c>
      <c r="G15" s="12">
        <v>43577</v>
      </c>
      <c r="H15" s="4" t="s">
        <v>65</v>
      </c>
      <c r="I15" s="4">
        <v>118872</v>
      </c>
      <c r="J15" s="4">
        <v>43131</v>
      </c>
      <c r="K15" s="4">
        <v>6351</v>
      </c>
      <c r="L15" s="4">
        <v>3242</v>
      </c>
      <c r="M15" s="4">
        <v>2072</v>
      </c>
      <c r="N15" s="4">
        <v>169524</v>
      </c>
      <c r="O15" s="4">
        <v>25</v>
      </c>
      <c r="P15" s="4">
        <v>81</v>
      </c>
      <c r="Q15" s="4" t="s">
        <v>48</v>
      </c>
      <c r="R15" s="6" t="s">
        <v>41</v>
      </c>
      <c r="S15" s="94"/>
      <c r="T15" s="94"/>
      <c r="U15" s="94"/>
      <c r="V15" s="94"/>
      <c r="W15" s="94"/>
      <c r="X15" s="94"/>
      <c r="Y15" s="94"/>
      <c r="Z15" s="94"/>
      <c r="AA15" s="94"/>
    </row>
    <row r="16" spans="1:27" ht="18" customHeight="1">
      <c r="A16" s="7" t="s">
        <v>94</v>
      </c>
      <c r="B16" s="7" t="s">
        <v>95</v>
      </c>
      <c r="C16" s="7">
        <v>32</v>
      </c>
      <c r="D16" s="7" t="s">
        <v>44</v>
      </c>
      <c r="E16" s="10" t="s">
        <v>58</v>
      </c>
      <c r="F16" s="7" t="s">
        <v>96</v>
      </c>
      <c r="G16" s="9">
        <v>42620</v>
      </c>
      <c r="H16" s="7" t="s">
        <v>84</v>
      </c>
      <c r="I16" s="7">
        <v>91307</v>
      </c>
      <c r="J16" s="7">
        <v>32235</v>
      </c>
      <c r="K16" s="7">
        <v>7718</v>
      </c>
      <c r="L16" s="7">
        <v>7216</v>
      </c>
      <c r="M16" s="7">
        <v>1563</v>
      </c>
      <c r="N16" s="7">
        <v>136913</v>
      </c>
      <c r="O16" s="7">
        <v>18</v>
      </c>
      <c r="P16" s="7">
        <v>63</v>
      </c>
      <c r="Q16" s="7" t="s">
        <v>48</v>
      </c>
      <c r="R16" s="13" t="s">
        <v>67</v>
      </c>
      <c r="S16" s="94"/>
      <c r="T16" s="94"/>
      <c r="U16" s="94"/>
      <c r="V16" s="94"/>
      <c r="W16" s="94"/>
      <c r="X16" s="94"/>
      <c r="Y16" s="94"/>
      <c r="Z16" s="94"/>
      <c r="AA16" s="94"/>
    </row>
    <row r="17" spans="1:27" ht="18" customHeight="1">
      <c r="A17" s="4" t="s">
        <v>97</v>
      </c>
      <c r="B17" s="4" t="s">
        <v>98</v>
      </c>
      <c r="C17" s="4">
        <v>39</v>
      </c>
      <c r="D17" s="4" t="s">
        <v>52</v>
      </c>
      <c r="E17" s="14" t="s">
        <v>76</v>
      </c>
      <c r="F17" s="4" t="s">
        <v>99</v>
      </c>
      <c r="G17" s="12">
        <v>45068</v>
      </c>
      <c r="H17" s="4" t="s">
        <v>65</v>
      </c>
      <c r="I17" s="4">
        <v>38577</v>
      </c>
      <c r="J17" s="4">
        <v>18817</v>
      </c>
      <c r="K17" s="4">
        <v>4200</v>
      </c>
      <c r="L17" s="4">
        <v>2166</v>
      </c>
      <c r="M17" s="4">
        <v>1945</v>
      </c>
      <c r="N17" s="4">
        <v>61815</v>
      </c>
      <c r="O17" s="4">
        <v>16</v>
      </c>
      <c r="P17" s="4">
        <v>87</v>
      </c>
      <c r="Q17" s="4" t="s">
        <v>60</v>
      </c>
      <c r="R17" s="13" t="s">
        <v>67</v>
      </c>
      <c r="S17" s="94"/>
      <c r="T17" s="94"/>
      <c r="U17" s="94"/>
      <c r="V17" s="94"/>
      <c r="W17" s="94"/>
      <c r="X17" s="94"/>
      <c r="Y17" s="94"/>
      <c r="Z17" s="94"/>
      <c r="AA17" s="94"/>
    </row>
    <row r="18" spans="1:27" ht="18" customHeight="1">
      <c r="A18" s="7" t="s">
        <v>100</v>
      </c>
      <c r="B18" s="7" t="s">
        <v>101</v>
      </c>
      <c r="C18" s="7">
        <v>30</v>
      </c>
      <c r="D18" s="7" t="s">
        <v>44</v>
      </c>
      <c r="E18" s="13" t="s">
        <v>63</v>
      </c>
      <c r="F18" s="7" t="s">
        <v>102</v>
      </c>
      <c r="G18" s="9">
        <v>45147</v>
      </c>
      <c r="H18" s="7" t="s">
        <v>47</v>
      </c>
      <c r="I18" s="7">
        <v>31658</v>
      </c>
      <c r="J18" s="7">
        <v>10082</v>
      </c>
      <c r="K18" s="7">
        <v>8939</v>
      </c>
      <c r="L18" s="7">
        <v>6794</v>
      </c>
      <c r="M18" s="7">
        <v>3266</v>
      </c>
      <c r="N18" s="7">
        <v>54207</v>
      </c>
      <c r="O18" s="7">
        <v>15</v>
      </c>
      <c r="P18" s="7">
        <v>40</v>
      </c>
      <c r="Q18" s="7" t="s">
        <v>66</v>
      </c>
      <c r="R18" s="6" t="s">
        <v>41</v>
      </c>
      <c r="S18" s="94"/>
      <c r="T18" s="94"/>
      <c r="U18" s="94"/>
      <c r="V18" s="94"/>
      <c r="W18" s="94"/>
      <c r="X18" s="94"/>
      <c r="Y18" s="94"/>
      <c r="Z18" s="94"/>
      <c r="AA18" s="94"/>
    </row>
    <row r="19" spans="1:27" ht="18" customHeight="1">
      <c r="A19" s="4" t="s">
        <v>103</v>
      </c>
      <c r="B19" s="4" t="s">
        <v>104</v>
      </c>
      <c r="C19" s="4">
        <v>31</v>
      </c>
      <c r="D19" s="4" t="s">
        <v>44</v>
      </c>
      <c r="E19" s="10" t="s">
        <v>58</v>
      </c>
      <c r="F19" s="4" t="s">
        <v>105</v>
      </c>
      <c r="G19" s="12">
        <v>44930</v>
      </c>
      <c r="H19" s="4" t="s">
        <v>84</v>
      </c>
      <c r="I19" s="4">
        <v>34862</v>
      </c>
      <c r="J19" s="4">
        <v>17048</v>
      </c>
      <c r="K19" s="4">
        <v>13321</v>
      </c>
      <c r="L19" s="4">
        <v>7404</v>
      </c>
      <c r="M19" s="4">
        <v>2221</v>
      </c>
      <c r="N19" s="4">
        <v>70414</v>
      </c>
      <c r="O19" s="4">
        <v>23</v>
      </c>
      <c r="P19" s="4">
        <v>42</v>
      </c>
      <c r="Q19" s="4" t="s">
        <v>60</v>
      </c>
      <c r="R19" s="6" t="s">
        <v>41</v>
      </c>
      <c r="S19" s="94"/>
      <c r="T19" s="94"/>
      <c r="U19" s="94"/>
      <c r="V19" s="94"/>
      <c r="W19" s="94"/>
      <c r="X19" s="94"/>
      <c r="Y19" s="94"/>
      <c r="Z19" s="94"/>
      <c r="AA19" s="94"/>
    </row>
    <row r="20" spans="1:27" ht="18" customHeight="1">
      <c r="A20" s="7" t="s">
        <v>106</v>
      </c>
      <c r="B20" s="7" t="s">
        <v>107</v>
      </c>
      <c r="C20" s="7">
        <v>37</v>
      </c>
      <c r="D20" s="7" t="s">
        <v>52</v>
      </c>
      <c r="E20" s="8" t="s">
        <v>45</v>
      </c>
      <c r="F20" s="7" t="s">
        <v>108</v>
      </c>
      <c r="G20" s="9">
        <v>43412</v>
      </c>
      <c r="H20" s="7" t="s">
        <v>78</v>
      </c>
      <c r="I20" s="7">
        <v>112416</v>
      </c>
      <c r="J20" s="7">
        <v>36036</v>
      </c>
      <c r="K20" s="7">
        <v>14781</v>
      </c>
      <c r="L20" s="7">
        <v>4586</v>
      </c>
      <c r="M20" s="7">
        <v>4329</v>
      </c>
      <c r="N20" s="7">
        <v>163490</v>
      </c>
      <c r="O20" s="7">
        <v>24</v>
      </c>
      <c r="P20" s="7">
        <v>87</v>
      </c>
      <c r="Q20" s="7" t="s">
        <v>73</v>
      </c>
      <c r="R20" s="6" t="s">
        <v>41</v>
      </c>
      <c r="S20" s="94"/>
      <c r="T20" s="94"/>
      <c r="U20" s="94"/>
      <c r="V20" s="94"/>
      <c r="W20" s="94"/>
      <c r="X20" s="94"/>
      <c r="Y20" s="94"/>
      <c r="Z20" s="94"/>
      <c r="AA20" s="94"/>
    </row>
    <row r="21" spans="1:27" ht="18" customHeight="1">
      <c r="A21" s="4" t="s">
        <v>109</v>
      </c>
      <c r="B21" s="4" t="s">
        <v>110</v>
      </c>
      <c r="C21" s="4">
        <v>46</v>
      </c>
      <c r="D21" s="4" t="s">
        <v>52</v>
      </c>
      <c r="E21" s="5" t="s">
        <v>111</v>
      </c>
      <c r="F21" s="4" t="s">
        <v>112</v>
      </c>
      <c r="G21" s="12">
        <v>43080</v>
      </c>
      <c r="H21" s="4" t="s">
        <v>78</v>
      </c>
      <c r="I21" s="4">
        <v>78964</v>
      </c>
      <c r="J21" s="4">
        <v>36359</v>
      </c>
      <c r="K21" s="4">
        <v>14043</v>
      </c>
      <c r="L21" s="4">
        <v>6641</v>
      </c>
      <c r="M21" s="4">
        <v>3032</v>
      </c>
      <c r="N21" s="4">
        <v>132975</v>
      </c>
      <c r="O21" s="4">
        <v>19</v>
      </c>
      <c r="P21" s="4">
        <v>50</v>
      </c>
      <c r="Q21" s="4" t="s">
        <v>73</v>
      </c>
      <c r="R21" s="6" t="s">
        <v>41</v>
      </c>
      <c r="S21" s="94"/>
      <c r="T21" s="94"/>
      <c r="U21" s="94"/>
      <c r="V21" s="94"/>
      <c r="W21" s="94"/>
      <c r="X21" s="94"/>
      <c r="Y21" s="94"/>
      <c r="Z21" s="94"/>
      <c r="AA21" s="94"/>
    </row>
    <row r="22" spans="1:27" ht="18" customHeight="1">
      <c r="A22" s="7" t="s">
        <v>113</v>
      </c>
      <c r="B22" s="7" t="s">
        <v>114</v>
      </c>
      <c r="C22" s="7">
        <v>39</v>
      </c>
      <c r="D22" s="7" t="s">
        <v>52</v>
      </c>
      <c r="E22" s="13" t="s">
        <v>63</v>
      </c>
      <c r="F22" s="7" t="s">
        <v>115</v>
      </c>
      <c r="G22" s="9">
        <v>43978</v>
      </c>
      <c r="H22" s="7" t="s">
        <v>65</v>
      </c>
      <c r="I22" s="7">
        <v>54831</v>
      </c>
      <c r="J22" s="7">
        <v>18894</v>
      </c>
      <c r="K22" s="7">
        <v>12813</v>
      </c>
      <c r="L22" s="7">
        <v>1582</v>
      </c>
      <c r="M22" s="7">
        <v>4264</v>
      </c>
      <c r="N22" s="7">
        <v>83856</v>
      </c>
      <c r="O22" s="7">
        <v>20</v>
      </c>
      <c r="P22" s="7">
        <v>57</v>
      </c>
      <c r="Q22" s="7" t="s">
        <v>48</v>
      </c>
      <c r="R22" s="10" t="s">
        <v>49</v>
      </c>
      <c r="S22" s="94"/>
      <c r="T22" s="94"/>
      <c r="U22" s="94"/>
      <c r="V22" s="94"/>
      <c r="W22" s="94"/>
      <c r="X22" s="94"/>
      <c r="Y22" s="94"/>
      <c r="Z22" s="94"/>
      <c r="AA22" s="94"/>
    </row>
    <row r="23" spans="1:27" ht="18" customHeight="1">
      <c r="A23" s="4" t="s">
        <v>116</v>
      </c>
      <c r="B23" s="4" t="s">
        <v>117</v>
      </c>
      <c r="C23" s="4">
        <v>42</v>
      </c>
      <c r="D23" s="4" t="s">
        <v>44</v>
      </c>
      <c r="E23" s="11" t="s">
        <v>53</v>
      </c>
      <c r="F23" s="4" t="s">
        <v>118</v>
      </c>
      <c r="G23" s="4" t="s">
        <v>119</v>
      </c>
      <c r="H23" s="4" t="s">
        <v>84</v>
      </c>
      <c r="I23" s="4">
        <v>101099</v>
      </c>
      <c r="J23" s="4">
        <v>49792</v>
      </c>
      <c r="K23" s="4">
        <v>6349</v>
      </c>
      <c r="L23" s="4">
        <v>313</v>
      </c>
      <c r="M23" s="4">
        <v>1888</v>
      </c>
      <c r="N23" s="4">
        <v>155665</v>
      </c>
      <c r="O23" s="4">
        <v>24</v>
      </c>
      <c r="P23" s="4">
        <v>67</v>
      </c>
      <c r="Q23" s="4" t="s">
        <v>66</v>
      </c>
      <c r="R23" s="13" t="s">
        <v>67</v>
      </c>
      <c r="S23" s="94"/>
      <c r="T23" s="94"/>
      <c r="U23" s="94"/>
      <c r="V23" s="94"/>
      <c r="W23" s="94"/>
      <c r="X23" s="94"/>
      <c r="Y23" s="94"/>
      <c r="Z23" s="94"/>
      <c r="AA23" s="94"/>
    </row>
    <row r="24" spans="1:27" ht="18" customHeight="1">
      <c r="A24" s="7" t="s">
        <v>120</v>
      </c>
      <c r="B24" s="7" t="s">
        <v>121</v>
      </c>
      <c r="C24" s="7">
        <v>45</v>
      </c>
      <c r="D24" s="7" t="s">
        <v>52</v>
      </c>
      <c r="E24" s="10" t="s">
        <v>58</v>
      </c>
      <c r="F24" s="7" t="s">
        <v>59</v>
      </c>
      <c r="G24" s="9">
        <v>43488</v>
      </c>
      <c r="H24" s="7" t="s">
        <v>84</v>
      </c>
      <c r="I24" s="7">
        <v>82154</v>
      </c>
      <c r="J24" s="7">
        <v>24674</v>
      </c>
      <c r="K24" s="7">
        <v>10821</v>
      </c>
      <c r="L24" s="7">
        <v>5626</v>
      </c>
      <c r="M24" s="7">
        <v>6893</v>
      </c>
      <c r="N24" s="7">
        <v>116382</v>
      </c>
      <c r="O24" s="7">
        <v>26</v>
      </c>
      <c r="P24" s="7">
        <v>87</v>
      </c>
      <c r="Q24" s="7" t="s">
        <v>48</v>
      </c>
      <c r="R24" s="6" t="s">
        <v>41</v>
      </c>
      <c r="S24" s="94"/>
      <c r="T24" s="94"/>
      <c r="U24" s="94"/>
      <c r="V24" s="94"/>
      <c r="W24" s="94"/>
      <c r="X24" s="94"/>
      <c r="Y24" s="94"/>
      <c r="Z24" s="94"/>
      <c r="AA24" s="94"/>
    </row>
    <row r="25" spans="1:27" ht="18" customHeight="1">
      <c r="A25" s="4" t="s">
        <v>122</v>
      </c>
      <c r="B25" s="4" t="s">
        <v>123</v>
      </c>
      <c r="C25" s="4">
        <v>48</v>
      </c>
      <c r="D25" s="4" t="s">
        <v>52</v>
      </c>
      <c r="E25" s="11" t="s">
        <v>53</v>
      </c>
      <c r="F25" s="4" t="s">
        <v>118</v>
      </c>
      <c r="G25" s="12">
        <v>43718</v>
      </c>
      <c r="H25" s="4" t="s">
        <v>47</v>
      </c>
      <c r="I25" s="4">
        <v>112410</v>
      </c>
      <c r="J25" s="4">
        <v>42904</v>
      </c>
      <c r="K25" s="4">
        <v>8592</v>
      </c>
      <c r="L25" s="4">
        <v>5711</v>
      </c>
      <c r="M25" s="4">
        <v>3422</v>
      </c>
      <c r="N25" s="4">
        <v>166195</v>
      </c>
      <c r="O25" s="4">
        <v>23</v>
      </c>
      <c r="P25" s="4">
        <v>48</v>
      </c>
      <c r="Q25" s="4" t="s">
        <v>73</v>
      </c>
      <c r="R25" s="6" t="s">
        <v>41</v>
      </c>
      <c r="S25" s="94"/>
      <c r="T25" s="94"/>
      <c r="U25" s="94"/>
      <c r="V25" s="94"/>
      <c r="W25" s="94"/>
      <c r="X25" s="94"/>
      <c r="Y25" s="94"/>
      <c r="Z25" s="94"/>
      <c r="AA25" s="94"/>
    </row>
    <row r="26" spans="1:27" ht="18" customHeight="1">
      <c r="A26" s="7" t="s">
        <v>124</v>
      </c>
      <c r="B26" s="7" t="s">
        <v>125</v>
      </c>
      <c r="C26" s="7">
        <v>51</v>
      </c>
      <c r="D26" s="7" t="s">
        <v>44</v>
      </c>
      <c r="E26" s="10" t="s">
        <v>58</v>
      </c>
      <c r="F26" s="7" t="s">
        <v>93</v>
      </c>
      <c r="G26" s="9">
        <v>44466</v>
      </c>
      <c r="H26" s="7" t="s">
        <v>84</v>
      </c>
      <c r="I26" s="7">
        <v>25053</v>
      </c>
      <c r="J26" s="7">
        <v>9038</v>
      </c>
      <c r="K26" s="7">
        <v>5443</v>
      </c>
      <c r="L26" s="7">
        <v>3521</v>
      </c>
      <c r="M26" s="7">
        <v>7436</v>
      </c>
      <c r="N26" s="7">
        <v>35619</v>
      </c>
      <c r="O26" s="7">
        <v>24</v>
      </c>
      <c r="P26" s="7">
        <v>78</v>
      </c>
      <c r="Q26" s="7" t="s">
        <v>48</v>
      </c>
      <c r="R26" s="6" t="s">
        <v>41</v>
      </c>
      <c r="S26" s="94"/>
      <c r="T26" s="94"/>
      <c r="U26" s="94"/>
      <c r="V26" s="94"/>
      <c r="W26" s="94"/>
      <c r="X26" s="94"/>
      <c r="Y26" s="94"/>
      <c r="Z26" s="94"/>
      <c r="AA26" s="94"/>
    </row>
    <row r="27" spans="1:27" ht="18" customHeight="1">
      <c r="A27" s="4" t="s">
        <v>126</v>
      </c>
      <c r="B27" s="4" t="s">
        <v>127</v>
      </c>
      <c r="C27" s="4">
        <v>36</v>
      </c>
      <c r="D27" s="4" t="s">
        <v>44</v>
      </c>
      <c r="E27" s="5" t="s">
        <v>111</v>
      </c>
      <c r="F27" s="4" t="s">
        <v>128</v>
      </c>
      <c r="G27" s="12">
        <v>42507</v>
      </c>
      <c r="H27" s="4" t="s">
        <v>78</v>
      </c>
      <c r="I27" s="4">
        <v>112012</v>
      </c>
      <c r="J27" s="4">
        <v>47783</v>
      </c>
      <c r="K27" s="4">
        <v>7491</v>
      </c>
      <c r="L27" s="4">
        <v>765</v>
      </c>
      <c r="M27" s="4">
        <v>7704</v>
      </c>
      <c r="N27" s="4">
        <v>160347</v>
      </c>
      <c r="O27" s="4">
        <v>18</v>
      </c>
      <c r="P27" s="4">
        <v>83</v>
      </c>
      <c r="Q27" s="4" t="s">
        <v>40</v>
      </c>
      <c r="R27" s="6" t="s">
        <v>41</v>
      </c>
      <c r="S27" s="94"/>
      <c r="T27" s="94"/>
      <c r="U27" s="94"/>
      <c r="V27" s="94"/>
      <c r="W27" s="94"/>
      <c r="X27" s="94"/>
      <c r="Y27" s="94"/>
      <c r="Z27" s="94"/>
      <c r="AA27" s="94"/>
    </row>
    <row r="28" spans="1:27" ht="18" customHeight="1">
      <c r="A28" s="7" t="s">
        <v>129</v>
      </c>
      <c r="B28" s="7" t="s">
        <v>130</v>
      </c>
      <c r="C28" s="7">
        <v>31</v>
      </c>
      <c r="D28" s="7" t="s">
        <v>52</v>
      </c>
      <c r="E28" s="13" t="s">
        <v>63</v>
      </c>
      <c r="F28" s="7" t="s">
        <v>115</v>
      </c>
      <c r="G28" s="9">
        <v>42596</v>
      </c>
      <c r="H28" s="7" t="s">
        <v>47</v>
      </c>
      <c r="I28" s="7"/>
      <c r="J28" s="7">
        <v>44645</v>
      </c>
      <c r="K28" s="7">
        <v>13769</v>
      </c>
      <c r="L28" s="7">
        <v>5704</v>
      </c>
      <c r="M28" s="7">
        <v>4145</v>
      </c>
      <c r="N28" s="7"/>
      <c r="O28" s="7">
        <v>22</v>
      </c>
      <c r="P28" s="7">
        <v>65</v>
      </c>
      <c r="Q28" s="7" t="s">
        <v>40</v>
      </c>
      <c r="R28" s="10" t="s">
        <v>49</v>
      </c>
      <c r="S28" s="94"/>
      <c r="T28" s="94"/>
      <c r="U28" s="94"/>
      <c r="V28" s="94"/>
      <c r="W28" s="94"/>
      <c r="X28" s="94"/>
      <c r="Y28" s="94"/>
      <c r="Z28" s="94"/>
      <c r="AA28" s="94"/>
    </row>
    <row r="29" spans="1:27" ht="18" customHeight="1">
      <c r="A29" s="4" t="s">
        <v>131</v>
      </c>
      <c r="B29" s="4" t="s">
        <v>132</v>
      </c>
      <c r="C29" s="4">
        <v>51</v>
      </c>
      <c r="D29" s="4" t="s">
        <v>52</v>
      </c>
      <c r="E29" s="5" t="s">
        <v>111</v>
      </c>
      <c r="F29" s="4" t="s">
        <v>128</v>
      </c>
      <c r="G29" s="12">
        <v>43086</v>
      </c>
      <c r="H29" s="4" t="s">
        <v>47</v>
      </c>
      <c r="I29" s="4">
        <v>85889</v>
      </c>
      <c r="J29" s="4">
        <v>26629</v>
      </c>
      <c r="K29" s="4">
        <v>6082</v>
      </c>
      <c r="L29" s="4">
        <v>7515</v>
      </c>
      <c r="M29" s="4">
        <v>7949</v>
      </c>
      <c r="N29" s="4">
        <v>118166</v>
      </c>
      <c r="O29" s="4">
        <v>16</v>
      </c>
      <c r="P29" s="4">
        <v>69</v>
      </c>
      <c r="Q29" s="4" t="s">
        <v>60</v>
      </c>
      <c r="R29" s="13" t="s">
        <v>67</v>
      </c>
      <c r="S29" s="94"/>
      <c r="T29" s="94"/>
      <c r="U29" s="94"/>
      <c r="V29" s="94"/>
      <c r="W29" s="94"/>
      <c r="X29" s="94"/>
      <c r="Y29" s="94"/>
      <c r="Z29" s="94"/>
      <c r="AA29" s="94"/>
    </row>
    <row r="30" spans="1:27" ht="18" customHeight="1">
      <c r="A30" s="7" t="s">
        <v>133</v>
      </c>
      <c r="B30" s="7" t="s">
        <v>134</v>
      </c>
      <c r="C30" s="7">
        <v>37</v>
      </c>
      <c r="D30" s="7" t="s">
        <v>44</v>
      </c>
      <c r="E30" s="5" t="s">
        <v>111</v>
      </c>
      <c r="F30" s="7" t="s">
        <v>37</v>
      </c>
      <c r="G30" s="9">
        <v>45144</v>
      </c>
      <c r="H30" s="7" t="s">
        <v>65</v>
      </c>
      <c r="I30" s="7">
        <v>87216</v>
      </c>
      <c r="J30" s="7">
        <v>34015</v>
      </c>
      <c r="K30" s="7">
        <v>14317</v>
      </c>
      <c r="L30" s="7">
        <v>2025</v>
      </c>
      <c r="M30" s="7">
        <v>7880</v>
      </c>
      <c r="N30" s="7">
        <v>129693</v>
      </c>
      <c r="O30" s="7">
        <v>25</v>
      </c>
      <c r="P30" s="7">
        <v>57</v>
      </c>
      <c r="Q30" s="7" t="s">
        <v>60</v>
      </c>
      <c r="R30" s="6" t="s">
        <v>41</v>
      </c>
      <c r="S30" s="94"/>
      <c r="T30" s="94"/>
      <c r="U30" s="94"/>
      <c r="V30" s="94"/>
      <c r="W30" s="94"/>
      <c r="X30" s="94"/>
      <c r="Y30" s="94"/>
      <c r="Z30" s="94"/>
      <c r="AA30" s="94"/>
    </row>
    <row r="31" spans="1:27" ht="18" customHeight="1">
      <c r="A31" s="4" t="s">
        <v>135</v>
      </c>
      <c r="B31" s="4" t="s">
        <v>136</v>
      </c>
      <c r="C31" s="4">
        <v>26</v>
      </c>
      <c r="D31" s="4" t="s">
        <v>52</v>
      </c>
      <c r="E31" s="13" t="s">
        <v>63</v>
      </c>
      <c r="F31" s="4" t="s">
        <v>102</v>
      </c>
      <c r="G31" s="12">
        <v>44000</v>
      </c>
      <c r="H31" s="4" t="s">
        <v>84</v>
      </c>
      <c r="I31" s="4">
        <v>35561</v>
      </c>
      <c r="J31" s="4">
        <v>11652</v>
      </c>
      <c r="K31" s="4">
        <v>5788</v>
      </c>
      <c r="L31" s="4">
        <v>3137</v>
      </c>
      <c r="M31" s="4">
        <v>6684</v>
      </c>
      <c r="N31" s="4">
        <v>49454</v>
      </c>
      <c r="O31" s="4">
        <v>17</v>
      </c>
      <c r="P31" s="4">
        <v>85</v>
      </c>
      <c r="Q31" s="4" t="s">
        <v>66</v>
      </c>
      <c r="R31" s="6" t="s">
        <v>41</v>
      </c>
      <c r="S31" s="94"/>
      <c r="T31" s="94"/>
      <c r="U31" s="94"/>
      <c r="V31" s="94"/>
      <c r="W31" s="94"/>
      <c r="X31" s="94"/>
      <c r="Y31" s="94"/>
      <c r="Z31" s="94"/>
      <c r="AA31" s="94"/>
    </row>
    <row r="32" spans="1:27" ht="18" customHeight="1">
      <c r="A32" s="7" t="s">
        <v>137</v>
      </c>
      <c r="B32" s="7" t="s">
        <v>138</v>
      </c>
      <c r="C32" s="7">
        <v>22</v>
      </c>
      <c r="D32" s="7" t="s">
        <v>44</v>
      </c>
      <c r="E32" s="5" t="s">
        <v>111</v>
      </c>
      <c r="F32" s="7" t="s">
        <v>112</v>
      </c>
      <c r="G32" s="9">
        <v>43294</v>
      </c>
      <c r="H32" s="7" t="s">
        <v>65</v>
      </c>
      <c r="I32" s="7">
        <v>101556</v>
      </c>
      <c r="J32" s="7">
        <v>49682</v>
      </c>
      <c r="K32" s="7">
        <v>2320</v>
      </c>
      <c r="L32" s="7">
        <v>7018</v>
      </c>
      <c r="M32" s="7">
        <v>7271</v>
      </c>
      <c r="N32" s="7">
        <v>153305</v>
      </c>
      <c r="O32" s="7">
        <v>24</v>
      </c>
      <c r="P32" s="7">
        <v>64</v>
      </c>
      <c r="Q32" s="7" t="s">
        <v>66</v>
      </c>
      <c r="R32" s="6" t="s">
        <v>41</v>
      </c>
      <c r="S32" s="94"/>
      <c r="T32" s="94"/>
      <c r="U32" s="94"/>
      <c r="V32" s="94"/>
      <c r="W32" s="94"/>
      <c r="X32" s="94"/>
      <c r="Y32" s="94"/>
      <c r="Z32" s="94"/>
      <c r="AA32" s="94"/>
    </row>
    <row r="33" spans="1:27" ht="18" customHeight="1">
      <c r="A33" s="4" t="s">
        <v>139</v>
      </c>
      <c r="B33" s="4" t="s">
        <v>140</v>
      </c>
      <c r="C33" s="4">
        <v>32</v>
      </c>
      <c r="D33" s="4" t="s">
        <v>44</v>
      </c>
      <c r="E33" s="10" t="s">
        <v>141</v>
      </c>
      <c r="F33" s="4" t="s">
        <v>59</v>
      </c>
      <c r="G33" s="12">
        <v>44660</v>
      </c>
      <c r="H33" s="4" t="s">
        <v>78</v>
      </c>
      <c r="I33" s="4">
        <v>82125</v>
      </c>
      <c r="J33" s="4">
        <v>32614</v>
      </c>
      <c r="K33" s="4">
        <v>8371</v>
      </c>
      <c r="L33" s="4">
        <v>2753</v>
      </c>
      <c r="M33" s="4">
        <v>6479</v>
      </c>
      <c r="N33" s="4">
        <v>119384</v>
      </c>
      <c r="O33" s="4">
        <v>25</v>
      </c>
      <c r="P33" s="4">
        <v>91</v>
      </c>
      <c r="Q33" s="4" t="s">
        <v>48</v>
      </c>
      <c r="R33" s="6" t="s">
        <v>41</v>
      </c>
      <c r="S33" s="94"/>
      <c r="T33" s="94"/>
      <c r="U33" s="94"/>
      <c r="V33" s="94"/>
      <c r="W33" s="94"/>
      <c r="X33" s="94"/>
      <c r="Y33" s="94"/>
      <c r="Z33" s="94"/>
      <c r="AA33" s="94"/>
    </row>
    <row r="34" spans="1:27" ht="18" customHeight="1">
      <c r="A34" s="7" t="s">
        <v>142</v>
      </c>
      <c r="B34" s="7" t="s">
        <v>143</v>
      </c>
      <c r="C34" s="7">
        <v>35</v>
      </c>
      <c r="D34" s="7" t="s">
        <v>44</v>
      </c>
      <c r="E34" s="8" t="s">
        <v>45</v>
      </c>
      <c r="F34" s="7" t="s">
        <v>81</v>
      </c>
      <c r="G34" s="9">
        <v>42056</v>
      </c>
      <c r="H34" s="7" t="s">
        <v>84</v>
      </c>
      <c r="I34" s="7">
        <v>81179</v>
      </c>
      <c r="J34" s="7">
        <v>26557</v>
      </c>
      <c r="K34" s="7">
        <v>9564</v>
      </c>
      <c r="L34" s="7">
        <v>1488</v>
      </c>
      <c r="M34" s="7">
        <v>1411</v>
      </c>
      <c r="N34" s="7">
        <v>117377</v>
      </c>
      <c r="O34" s="7">
        <v>19</v>
      </c>
      <c r="P34" s="7">
        <v>64</v>
      </c>
      <c r="Q34" s="7" t="s">
        <v>66</v>
      </c>
      <c r="R34" s="6" t="s">
        <v>41</v>
      </c>
      <c r="S34" s="94"/>
      <c r="T34" s="94"/>
      <c r="U34" s="94"/>
      <c r="V34" s="94"/>
      <c r="W34" s="94"/>
      <c r="X34" s="94"/>
      <c r="Y34" s="94"/>
      <c r="Z34" s="94"/>
      <c r="AA34" s="94"/>
    </row>
    <row r="35" spans="1:27" ht="18" customHeight="1">
      <c r="A35" s="4" t="s">
        <v>144</v>
      </c>
      <c r="B35" s="4" t="s">
        <v>145</v>
      </c>
      <c r="C35" s="4">
        <v>24</v>
      </c>
      <c r="D35" s="4" t="s">
        <v>52</v>
      </c>
      <c r="E35" s="11" t="s">
        <v>53</v>
      </c>
      <c r="F35" s="4" t="s">
        <v>87</v>
      </c>
      <c r="G35" s="12">
        <v>43512</v>
      </c>
      <c r="H35" s="4" t="s">
        <v>78</v>
      </c>
      <c r="I35" s="4">
        <v>27540</v>
      </c>
      <c r="J35" s="4">
        <v>12388</v>
      </c>
      <c r="K35" s="4">
        <v>2853</v>
      </c>
      <c r="L35" s="4">
        <v>7798</v>
      </c>
      <c r="M35" s="4">
        <v>3866</v>
      </c>
      <c r="N35" s="4">
        <v>46713</v>
      </c>
      <c r="O35" s="4">
        <v>18</v>
      </c>
      <c r="P35" s="4">
        <v>81</v>
      </c>
      <c r="Q35" s="4" t="s">
        <v>40</v>
      </c>
      <c r="R35" s="6" t="s">
        <v>41</v>
      </c>
      <c r="S35" s="94"/>
      <c r="T35" s="94"/>
      <c r="U35" s="94"/>
      <c r="V35" s="94"/>
      <c r="W35" s="94"/>
      <c r="X35" s="94"/>
      <c r="Y35" s="94"/>
      <c r="Z35" s="94"/>
      <c r="AA35" s="94"/>
    </row>
    <row r="36" spans="1:27" ht="18" customHeight="1">
      <c r="A36" s="7" t="s">
        <v>146</v>
      </c>
      <c r="B36" s="7" t="s">
        <v>147</v>
      </c>
      <c r="C36" s="7">
        <v>32</v>
      </c>
      <c r="D36" s="7" t="s">
        <v>44</v>
      </c>
      <c r="E36" s="10" t="s">
        <v>58</v>
      </c>
      <c r="F36" s="7" t="s">
        <v>59</v>
      </c>
      <c r="G36" s="9">
        <v>43175</v>
      </c>
      <c r="H36" s="7" t="s">
        <v>90</v>
      </c>
      <c r="I36" s="7">
        <v>112747</v>
      </c>
      <c r="J36" s="7">
        <v>36404</v>
      </c>
      <c r="K36" s="7">
        <v>5571</v>
      </c>
      <c r="L36" s="7">
        <v>3809</v>
      </c>
      <c r="M36" s="7">
        <v>6730</v>
      </c>
      <c r="N36" s="7">
        <v>151801</v>
      </c>
      <c r="O36" s="7">
        <v>19</v>
      </c>
      <c r="P36" s="7">
        <v>89</v>
      </c>
      <c r="Q36" s="7" t="s">
        <v>40</v>
      </c>
      <c r="R36" s="13" t="s">
        <v>67</v>
      </c>
      <c r="S36" s="94"/>
      <c r="T36" s="94"/>
      <c r="U36" s="94"/>
      <c r="V36" s="94"/>
      <c r="W36" s="94"/>
      <c r="X36" s="94"/>
      <c r="Y36" s="94"/>
      <c r="Z36" s="94"/>
      <c r="AA36" s="94"/>
    </row>
    <row r="37" spans="1:27" ht="18" customHeight="1">
      <c r="A37" s="4" t="s">
        <v>148</v>
      </c>
      <c r="B37" s="4" t="s">
        <v>149</v>
      </c>
      <c r="C37" s="4">
        <v>28</v>
      </c>
      <c r="D37" s="4" t="s">
        <v>52</v>
      </c>
      <c r="E37" s="13" t="s">
        <v>63</v>
      </c>
      <c r="F37" s="4" t="s">
        <v>102</v>
      </c>
      <c r="G37" s="12">
        <v>42644</v>
      </c>
      <c r="H37" s="4" t="s">
        <v>47</v>
      </c>
      <c r="I37" s="4">
        <v>65888</v>
      </c>
      <c r="J37" s="4">
        <v>27354</v>
      </c>
      <c r="K37" s="4">
        <v>8149</v>
      </c>
      <c r="L37" s="4">
        <v>3249</v>
      </c>
      <c r="M37" s="4">
        <v>6857</v>
      </c>
      <c r="N37" s="4">
        <v>97783</v>
      </c>
      <c r="O37" s="4">
        <v>18</v>
      </c>
      <c r="P37" s="4">
        <v>44</v>
      </c>
      <c r="Q37" s="4" t="s">
        <v>48</v>
      </c>
      <c r="R37" s="6" t="s">
        <v>41</v>
      </c>
      <c r="S37" s="94"/>
      <c r="T37" s="94"/>
      <c r="U37" s="94"/>
      <c r="V37" s="94"/>
      <c r="W37" s="94"/>
      <c r="X37" s="94"/>
      <c r="Y37" s="94"/>
      <c r="Z37" s="94"/>
      <c r="AA37" s="94"/>
    </row>
    <row r="38" spans="1:27" ht="18" customHeight="1">
      <c r="A38" s="7" t="s">
        <v>150</v>
      </c>
      <c r="B38" s="7" t="s">
        <v>151</v>
      </c>
      <c r="C38" s="7">
        <v>53</v>
      </c>
      <c r="D38" s="7" t="s">
        <v>44</v>
      </c>
      <c r="E38" s="8" t="s">
        <v>45</v>
      </c>
      <c r="F38" s="7" t="s">
        <v>46</v>
      </c>
      <c r="G38" s="9">
        <v>44088</v>
      </c>
      <c r="H38" s="7" t="s">
        <v>55</v>
      </c>
      <c r="I38" s="7">
        <v>111706</v>
      </c>
      <c r="J38" s="7">
        <v>41791</v>
      </c>
      <c r="K38" s="7">
        <v>10289</v>
      </c>
      <c r="L38" s="7">
        <v>5304</v>
      </c>
      <c r="M38" s="7">
        <v>3795</v>
      </c>
      <c r="N38" s="7">
        <v>165295</v>
      </c>
      <c r="O38" s="7">
        <v>-15</v>
      </c>
      <c r="P38" s="7">
        <v>94</v>
      </c>
      <c r="Q38" s="7" t="s">
        <v>66</v>
      </c>
      <c r="R38" s="6" t="s">
        <v>41</v>
      </c>
      <c r="S38" s="94"/>
      <c r="T38" s="94"/>
      <c r="U38" s="94"/>
      <c r="V38" s="94"/>
      <c r="W38" s="94"/>
      <c r="X38" s="94"/>
      <c r="Y38" s="94"/>
      <c r="Z38" s="94"/>
      <c r="AA38" s="94"/>
    </row>
    <row r="39" spans="1:27" ht="18" customHeight="1">
      <c r="A39" s="4" t="s">
        <v>152</v>
      </c>
      <c r="B39" s="4" t="s">
        <v>153</v>
      </c>
      <c r="C39" s="4">
        <v>51</v>
      </c>
      <c r="D39" s="4" t="s">
        <v>44</v>
      </c>
      <c r="E39" s="14" t="s">
        <v>76</v>
      </c>
      <c r="F39" s="4" t="s">
        <v>154</v>
      </c>
      <c r="G39" s="12">
        <v>44279</v>
      </c>
      <c r="H39" s="4" t="s">
        <v>84</v>
      </c>
      <c r="I39" s="4">
        <v>93386</v>
      </c>
      <c r="J39" s="4">
        <v>46048</v>
      </c>
      <c r="K39" s="4">
        <v>6425</v>
      </c>
      <c r="L39" s="4">
        <v>5045</v>
      </c>
      <c r="M39" s="4">
        <v>7620</v>
      </c>
      <c r="N39" s="4">
        <v>143284</v>
      </c>
      <c r="O39" s="4">
        <v>23</v>
      </c>
      <c r="P39" s="4">
        <v>89</v>
      </c>
      <c r="Q39" s="4" t="s">
        <v>60</v>
      </c>
      <c r="R39" s="10" t="s">
        <v>49</v>
      </c>
      <c r="S39" s="94"/>
      <c r="T39" s="94"/>
      <c r="U39" s="94"/>
      <c r="V39" s="94"/>
      <c r="W39" s="94"/>
      <c r="X39" s="94"/>
      <c r="Y39" s="94"/>
      <c r="Z39" s="94"/>
      <c r="AA39" s="94"/>
    </row>
    <row r="40" spans="1:27" ht="18" customHeight="1">
      <c r="A40" s="7" t="s">
        <v>155</v>
      </c>
      <c r="B40" s="7" t="s">
        <v>156</v>
      </c>
      <c r="C40" s="7">
        <v>33</v>
      </c>
      <c r="D40" s="7" t="s">
        <v>44</v>
      </c>
      <c r="E40" s="13" t="s">
        <v>63</v>
      </c>
      <c r="F40" s="7" t="s">
        <v>64</v>
      </c>
      <c r="G40" s="9">
        <v>43685</v>
      </c>
      <c r="H40" s="7" t="s">
        <v>84</v>
      </c>
      <c r="I40" s="7">
        <v>85910</v>
      </c>
      <c r="J40" s="7">
        <v>35564</v>
      </c>
      <c r="K40" s="7">
        <v>12947</v>
      </c>
      <c r="L40" s="7">
        <v>3104</v>
      </c>
      <c r="M40" s="7">
        <v>3755</v>
      </c>
      <c r="N40" s="7">
        <v>133770</v>
      </c>
      <c r="O40" s="7">
        <v>15</v>
      </c>
      <c r="P40" s="7">
        <v>71</v>
      </c>
      <c r="Q40" s="7" t="s">
        <v>60</v>
      </c>
      <c r="R40" s="6" t="s">
        <v>41</v>
      </c>
      <c r="S40" s="94"/>
      <c r="T40" s="94"/>
      <c r="U40" s="94"/>
      <c r="V40" s="94"/>
      <c r="W40" s="94"/>
      <c r="X40" s="94"/>
      <c r="Y40" s="94"/>
      <c r="Z40" s="94"/>
      <c r="AA40" s="94"/>
    </row>
    <row r="41" spans="1:27" ht="18" customHeight="1">
      <c r="A41" s="4" t="s">
        <v>157</v>
      </c>
      <c r="B41" s="4" t="s">
        <v>158</v>
      </c>
      <c r="C41" s="4">
        <v>52</v>
      </c>
      <c r="D41" s="4" t="s">
        <v>52</v>
      </c>
      <c r="E41" s="11" t="s">
        <v>53</v>
      </c>
      <c r="F41" s="4" t="s">
        <v>54</v>
      </c>
      <c r="G41" s="12">
        <v>43709</v>
      </c>
      <c r="H41" s="4" t="s">
        <v>47</v>
      </c>
      <c r="I41" s="4">
        <v>92715</v>
      </c>
      <c r="J41" s="4">
        <v>45394</v>
      </c>
      <c r="K41" s="4">
        <v>3402</v>
      </c>
      <c r="L41" s="4">
        <v>1977</v>
      </c>
      <c r="M41" s="4">
        <v>6898</v>
      </c>
      <c r="N41" s="4">
        <v>136590</v>
      </c>
      <c r="O41" s="4">
        <v>21</v>
      </c>
      <c r="P41" s="4">
        <v>71</v>
      </c>
      <c r="Q41" s="4" t="s">
        <v>40</v>
      </c>
      <c r="R41" s="10" t="s">
        <v>49</v>
      </c>
      <c r="S41" s="94"/>
      <c r="T41" s="94"/>
      <c r="U41" s="94"/>
      <c r="V41" s="94"/>
      <c r="W41" s="94"/>
      <c r="X41" s="94"/>
      <c r="Y41" s="94"/>
      <c r="Z41" s="94"/>
      <c r="AA41" s="94"/>
    </row>
    <row r="42" spans="1:27" ht="18" customHeight="1">
      <c r="A42" s="7" t="s">
        <v>159</v>
      </c>
      <c r="B42" s="7" t="s">
        <v>160</v>
      </c>
      <c r="C42" s="7">
        <v>49</v>
      </c>
      <c r="D42" s="7" t="s">
        <v>44</v>
      </c>
      <c r="E42" s="8" t="s">
        <v>45</v>
      </c>
      <c r="F42" s="7" t="s">
        <v>108</v>
      </c>
      <c r="G42" s="9">
        <v>43304</v>
      </c>
      <c r="H42" s="7" t="s">
        <v>47</v>
      </c>
      <c r="I42" s="7">
        <v>56890</v>
      </c>
      <c r="J42" s="7">
        <v>20551</v>
      </c>
      <c r="K42" s="7">
        <v>11528</v>
      </c>
      <c r="L42" s="7">
        <v>3023</v>
      </c>
      <c r="M42" s="7">
        <v>4876</v>
      </c>
      <c r="N42" s="7">
        <v>87116</v>
      </c>
      <c r="O42" s="7">
        <v>23</v>
      </c>
      <c r="P42" s="7">
        <v>73</v>
      </c>
      <c r="Q42" s="7" t="s">
        <v>66</v>
      </c>
      <c r="R42" s="13" t="s">
        <v>67</v>
      </c>
      <c r="S42" s="94"/>
      <c r="T42" s="94"/>
      <c r="U42" s="94"/>
      <c r="V42" s="94"/>
      <c r="W42" s="94"/>
      <c r="X42" s="94"/>
      <c r="Y42" s="94"/>
      <c r="Z42" s="94"/>
      <c r="AA42" s="94"/>
    </row>
    <row r="43" spans="1:27" ht="18" customHeight="1">
      <c r="A43" s="4" t="s">
        <v>161</v>
      </c>
      <c r="B43" s="4" t="s">
        <v>162</v>
      </c>
      <c r="C43" s="4">
        <v>35</v>
      </c>
      <c r="D43" s="4" t="s">
        <v>163</v>
      </c>
      <c r="E43" s="11" t="s">
        <v>53</v>
      </c>
      <c r="F43" s="4" t="s">
        <v>54</v>
      </c>
      <c r="G43" s="4" t="s">
        <v>164</v>
      </c>
      <c r="H43" s="4" t="s">
        <v>47</v>
      </c>
      <c r="I43" s="4">
        <v>119540</v>
      </c>
      <c r="J43" s="4">
        <v>40466</v>
      </c>
      <c r="K43" s="4">
        <v>3958</v>
      </c>
      <c r="L43" s="4">
        <v>6085</v>
      </c>
      <c r="M43" s="4">
        <v>5389</v>
      </c>
      <c r="N43" s="4">
        <v>164660</v>
      </c>
      <c r="O43" s="4">
        <v>26</v>
      </c>
      <c r="P43" s="4">
        <v>51</v>
      </c>
      <c r="Q43" s="4" t="s">
        <v>48</v>
      </c>
      <c r="R43" s="6" t="s">
        <v>41</v>
      </c>
      <c r="S43" s="94"/>
      <c r="T43" s="94"/>
      <c r="U43" s="94"/>
      <c r="V43" s="94"/>
      <c r="W43" s="94"/>
      <c r="X43" s="94"/>
      <c r="Y43" s="94"/>
      <c r="Z43" s="94"/>
      <c r="AA43" s="94"/>
    </row>
    <row r="44" spans="1:27" ht="18" customHeight="1">
      <c r="A44" s="7" t="s">
        <v>165</v>
      </c>
      <c r="B44" s="7" t="s">
        <v>166</v>
      </c>
      <c r="C44" s="7">
        <v>24</v>
      </c>
      <c r="D44" s="7" t="s">
        <v>44</v>
      </c>
      <c r="E44" s="10" t="s">
        <v>58</v>
      </c>
      <c r="F44" s="7" t="s">
        <v>93</v>
      </c>
      <c r="G44" s="9">
        <v>42470</v>
      </c>
      <c r="H44" s="7" t="s">
        <v>55</v>
      </c>
      <c r="I44" s="7">
        <v>54816</v>
      </c>
      <c r="J44" s="7">
        <v>20401</v>
      </c>
      <c r="K44" s="7">
        <v>6952</v>
      </c>
      <c r="L44" s="7">
        <v>115</v>
      </c>
      <c r="M44" s="7">
        <v>6800</v>
      </c>
      <c r="N44" s="7">
        <v>75484</v>
      </c>
      <c r="O44" s="7">
        <v>23</v>
      </c>
      <c r="P44" s="7">
        <v>48</v>
      </c>
      <c r="Q44" s="7" t="s">
        <v>73</v>
      </c>
      <c r="R44" s="13" t="s">
        <v>67</v>
      </c>
      <c r="S44" s="94"/>
      <c r="T44" s="94"/>
      <c r="U44" s="94"/>
      <c r="V44" s="94"/>
      <c r="W44" s="94"/>
      <c r="X44" s="94"/>
      <c r="Y44" s="94"/>
      <c r="Z44" s="94"/>
      <c r="AA44" s="94"/>
    </row>
    <row r="45" spans="1:27" ht="18" customHeight="1">
      <c r="A45" s="4" t="s">
        <v>167</v>
      </c>
      <c r="B45" s="4" t="s">
        <v>168</v>
      </c>
      <c r="C45" s="4">
        <v>29</v>
      </c>
      <c r="D45" s="4" t="s">
        <v>44</v>
      </c>
      <c r="E45" s="14" t="s">
        <v>76</v>
      </c>
      <c r="F45" s="4" t="s">
        <v>77</v>
      </c>
      <c r="G45" s="12">
        <v>42388</v>
      </c>
      <c r="H45" s="4" t="s">
        <v>78</v>
      </c>
      <c r="I45" s="4">
        <v>62268</v>
      </c>
      <c r="J45" s="4">
        <v>24526</v>
      </c>
      <c r="K45" s="4">
        <v>9216</v>
      </c>
      <c r="L45" s="4">
        <v>2791</v>
      </c>
      <c r="M45" s="4">
        <v>2510</v>
      </c>
      <c r="N45" s="4">
        <v>96291</v>
      </c>
      <c r="O45" s="4">
        <v>15</v>
      </c>
      <c r="P45" s="4">
        <v>56</v>
      </c>
      <c r="Q45" s="4" t="s">
        <v>40</v>
      </c>
      <c r="R45" s="6" t="s">
        <v>41</v>
      </c>
      <c r="S45" s="94"/>
      <c r="T45" s="94"/>
      <c r="U45" s="94"/>
      <c r="V45" s="94"/>
      <c r="W45" s="94"/>
      <c r="X45" s="94"/>
      <c r="Y45" s="94"/>
      <c r="Z45" s="94"/>
      <c r="AA45" s="94"/>
    </row>
    <row r="46" spans="1:27" ht="18" customHeight="1">
      <c r="A46" s="7" t="s">
        <v>169</v>
      </c>
      <c r="B46" s="7" t="s">
        <v>170</v>
      </c>
      <c r="C46" s="7">
        <v>36</v>
      </c>
      <c r="D46" s="7" t="s">
        <v>44</v>
      </c>
      <c r="E46" s="10" t="s">
        <v>58</v>
      </c>
      <c r="F46" s="7" t="s">
        <v>96</v>
      </c>
      <c r="G46" s="9">
        <v>42820</v>
      </c>
      <c r="H46" s="7" t="s">
        <v>78</v>
      </c>
      <c r="I46" s="7">
        <v>98772</v>
      </c>
      <c r="J46" s="7">
        <v>48381</v>
      </c>
      <c r="K46" s="7">
        <v>3395</v>
      </c>
      <c r="L46" s="7">
        <v>2033</v>
      </c>
      <c r="M46" s="7">
        <v>1970</v>
      </c>
      <c r="N46" s="7">
        <v>150611</v>
      </c>
      <c r="O46" s="7">
        <v>23</v>
      </c>
      <c r="P46" s="7">
        <v>88</v>
      </c>
      <c r="Q46" s="7" t="s">
        <v>66</v>
      </c>
      <c r="R46" s="13" t="s">
        <v>67</v>
      </c>
      <c r="S46" s="94"/>
      <c r="T46" s="94"/>
      <c r="U46" s="94"/>
      <c r="V46" s="94"/>
      <c r="W46" s="94"/>
      <c r="X46" s="94"/>
      <c r="Y46" s="94"/>
      <c r="Z46" s="94"/>
      <c r="AA46" s="94"/>
    </row>
    <row r="47" spans="1:27" ht="18" customHeight="1">
      <c r="A47" s="4" t="s">
        <v>171</v>
      </c>
      <c r="B47" s="4" t="s">
        <v>172</v>
      </c>
      <c r="C47" s="4">
        <v>38</v>
      </c>
      <c r="D47" s="4" t="s">
        <v>52</v>
      </c>
      <c r="E47" s="11" t="s">
        <v>53</v>
      </c>
      <c r="F47" s="4" t="s">
        <v>87</v>
      </c>
      <c r="G47" s="12">
        <v>43758</v>
      </c>
      <c r="H47" s="4" t="s">
        <v>47</v>
      </c>
      <c r="I47" s="4">
        <v>32894</v>
      </c>
      <c r="J47" s="4">
        <v>13879</v>
      </c>
      <c r="K47" s="4">
        <v>14125</v>
      </c>
      <c r="L47" s="4">
        <v>812</v>
      </c>
      <c r="M47" s="4">
        <v>7248</v>
      </c>
      <c r="N47" s="4">
        <v>54462</v>
      </c>
      <c r="O47" s="4">
        <v>18</v>
      </c>
      <c r="P47" s="4">
        <v>80</v>
      </c>
      <c r="Q47" s="4" t="s">
        <v>73</v>
      </c>
      <c r="R47" s="6" t="s">
        <v>41</v>
      </c>
      <c r="S47" s="94"/>
      <c r="T47" s="94"/>
      <c r="U47" s="94"/>
      <c r="V47" s="94"/>
      <c r="W47" s="94"/>
      <c r="X47" s="94"/>
      <c r="Y47" s="94"/>
      <c r="Z47" s="94"/>
      <c r="AA47" s="94"/>
    </row>
    <row r="48" spans="1:27" ht="18" customHeight="1">
      <c r="A48" s="7" t="s">
        <v>173</v>
      </c>
      <c r="B48" s="7" t="s">
        <v>174</v>
      </c>
      <c r="C48" s="7">
        <v>51</v>
      </c>
      <c r="D48" s="7" t="s">
        <v>44</v>
      </c>
      <c r="E48" s="10" t="s">
        <v>58</v>
      </c>
      <c r="F48" s="7" t="s">
        <v>96</v>
      </c>
      <c r="G48" s="9">
        <v>42749</v>
      </c>
      <c r="H48" s="7" t="s">
        <v>55</v>
      </c>
      <c r="I48" s="7">
        <v>84048</v>
      </c>
      <c r="J48" s="7">
        <v>36802</v>
      </c>
      <c r="K48" s="7">
        <v>9699</v>
      </c>
      <c r="L48" s="7">
        <v>2385</v>
      </c>
      <c r="M48" s="7">
        <v>1267</v>
      </c>
      <c r="N48" s="7">
        <v>131667</v>
      </c>
      <c r="O48" s="7">
        <v>18</v>
      </c>
      <c r="P48" s="7">
        <v>58</v>
      </c>
      <c r="Q48" s="7" t="s">
        <v>48</v>
      </c>
      <c r="R48" s="10" t="s">
        <v>49</v>
      </c>
      <c r="S48" s="94"/>
      <c r="T48" s="94"/>
      <c r="U48" s="94"/>
      <c r="V48" s="94"/>
      <c r="W48" s="94"/>
      <c r="X48" s="94"/>
      <c r="Y48" s="94"/>
      <c r="Z48" s="94"/>
      <c r="AA48" s="94"/>
    </row>
    <row r="49" spans="1:27" ht="18" customHeight="1">
      <c r="A49" s="4" t="s">
        <v>175</v>
      </c>
      <c r="B49" s="4" t="s">
        <v>176</v>
      </c>
      <c r="C49" s="4">
        <v>41</v>
      </c>
      <c r="D49" s="4" t="s">
        <v>52</v>
      </c>
      <c r="E49" s="14" t="s">
        <v>76</v>
      </c>
      <c r="F49" s="4" t="s">
        <v>154</v>
      </c>
      <c r="G49" s="12">
        <v>44245</v>
      </c>
      <c r="H49" s="4" t="s">
        <v>90</v>
      </c>
      <c r="I49" s="4">
        <v>54466</v>
      </c>
      <c r="J49" s="4">
        <v>23395</v>
      </c>
      <c r="K49" s="4">
        <v>6352</v>
      </c>
      <c r="L49" s="4">
        <v>6771</v>
      </c>
      <c r="M49" s="4">
        <v>2165</v>
      </c>
      <c r="N49" s="4">
        <v>88819</v>
      </c>
      <c r="O49" s="4">
        <v>16</v>
      </c>
      <c r="P49" s="4">
        <v>43</v>
      </c>
      <c r="Q49" s="4" t="s">
        <v>60</v>
      </c>
      <c r="R49" s="10" t="s">
        <v>49</v>
      </c>
      <c r="S49" s="94"/>
      <c r="T49" s="94"/>
      <c r="U49" s="94"/>
      <c r="V49" s="94"/>
      <c r="W49" s="94"/>
      <c r="X49" s="94"/>
      <c r="Y49" s="94"/>
      <c r="Z49" s="94"/>
      <c r="AA49" s="94"/>
    </row>
    <row r="50" spans="1:27" ht="18" customHeight="1">
      <c r="A50" s="7" t="s">
        <v>177</v>
      </c>
      <c r="B50" s="7" t="s">
        <v>178</v>
      </c>
      <c r="C50" s="7">
        <v>24</v>
      </c>
      <c r="D50" s="7" t="s">
        <v>52</v>
      </c>
      <c r="E50" s="5" t="s">
        <v>111</v>
      </c>
      <c r="F50" s="7" t="s">
        <v>112</v>
      </c>
      <c r="G50" s="9">
        <v>44905</v>
      </c>
      <c r="H50" s="7" t="s">
        <v>84</v>
      </c>
      <c r="I50" s="7">
        <v>116715</v>
      </c>
      <c r="J50" s="7">
        <v>44410</v>
      </c>
      <c r="K50" s="7">
        <v>6460</v>
      </c>
      <c r="L50" s="7">
        <v>4099</v>
      </c>
      <c r="M50" s="7">
        <v>5423</v>
      </c>
      <c r="N50" s="7">
        <v>166261</v>
      </c>
      <c r="O50" s="7">
        <v>22</v>
      </c>
      <c r="P50" s="7">
        <v>68</v>
      </c>
      <c r="Q50" s="7" t="s">
        <v>60</v>
      </c>
      <c r="R50" s="10" t="s">
        <v>49</v>
      </c>
      <c r="S50" s="94"/>
      <c r="T50" s="94"/>
      <c r="U50" s="94"/>
      <c r="V50" s="94"/>
      <c r="W50" s="94"/>
      <c r="X50" s="94"/>
      <c r="Y50" s="94"/>
      <c r="Z50" s="94"/>
      <c r="AA50" s="94"/>
    </row>
    <row r="51" spans="1:27" ht="18" customHeight="1">
      <c r="A51" s="4" t="s">
        <v>179</v>
      </c>
      <c r="B51" s="4" t="s">
        <v>180</v>
      </c>
      <c r="C51" s="4">
        <v>33</v>
      </c>
      <c r="D51" s="4" t="s">
        <v>52</v>
      </c>
      <c r="E51" s="8" t="s">
        <v>45</v>
      </c>
      <c r="F51" s="4" t="s">
        <v>46</v>
      </c>
      <c r="G51" s="12">
        <v>43431</v>
      </c>
      <c r="H51" s="4" t="s">
        <v>84</v>
      </c>
      <c r="I51" s="4">
        <v>100392</v>
      </c>
      <c r="J51" s="4">
        <v>41906</v>
      </c>
      <c r="K51" s="4">
        <v>2339</v>
      </c>
      <c r="L51" s="4">
        <v>6264</v>
      </c>
      <c r="M51" s="4">
        <v>6507</v>
      </c>
      <c r="N51" s="4">
        <v>144394</v>
      </c>
      <c r="O51" s="4">
        <v>19</v>
      </c>
      <c r="P51" s="4">
        <v>76</v>
      </c>
      <c r="Q51" s="4" t="s">
        <v>60</v>
      </c>
      <c r="R51" s="13" t="s">
        <v>67</v>
      </c>
      <c r="S51" s="94"/>
      <c r="T51" s="94"/>
      <c r="U51" s="94"/>
      <c r="V51" s="94"/>
      <c r="W51" s="94"/>
      <c r="X51" s="94"/>
      <c r="Y51" s="94"/>
      <c r="Z51" s="94"/>
      <c r="AA51" s="94"/>
    </row>
    <row r="52" spans="1:27" ht="18" customHeight="1">
      <c r="A52" s="7" t="s">
        <v>181</v>
      </c>
      <c r="B52" s="7" t="s">
        <v>182</v>
      </c>
      <c r="C52" s="7">
        <v>53</v>
      </c>
      <c r="D52" s="7" t="s">
        <v>44</v>
      </c>
      <c r="E52" s="13" t="s">
        <v>63</v>
      </c>
      <c r="F52" s="7" t="s">
        <v>115</v>
      </c>
      <c r="G52" s="9">
        <v>44608</v>
      </c>
      <c r="H52" s="7" t="s">
        <v>65</v>
      </c>
      <c r="I52" s="7">
        <v>70607</v>
      </c>
      <c r="J52" s="7">
        <v>26949</v>
      </c>
      <c r="K52" s="7">
        <v>7260</v>
      </c>
      <c r="L52" s="7">
        <v>5489</v>
      </c>
      <c r="M52" s="7">
        <v>1856</v>
      </c>
      <c r="N52" s="7">
        <v>108449</v>
      </c>
      <c r="O52" s="7">
        <v>17</v>
      </c>
      <c r="P52" s="7">
        <v>61</v>
      </c>
      <c r="Q52" s="7" t="s">
        <v>48</v>
      </c>
      <c r="R52" s="10" t="s">
        <v>49</v>
      </c>
      <c r="S52" s="94"/>
      <c r="T52" s="94"/>
      <c r="U52" s="94"/>
      <c r="V52" s="94"/>
      <c r="W52" s="94"/>
      <c r="X52" s="94"/>
      <c r="Y52" s="94"/>
      <c r="Z52" s="94"/>
      <c r="AA52" s="94"/>
    </row>
    <row r="53" spans="1:27" ht="18" customHeight="1">
      <c r="A53" s="4" t="s">
        <v>183</v>
      </c>
      <c r="B53" s="4" t="s">
        <v>184</v>
      </c>
      <c r="C53" s="4">
        <v>48</v>
      </c>
      <c r="D53" s="4" t="s">
        <v>44</v>
      </c>
      <c r="E53" s="8" t="s">
        <v>45</v>
      </c>
      <c r="F53" s="4" t="s">
        <v>81</v>
      </c>
      <c r="G53" s="12">
        <v>42530</v>
      </c>
      <c r="H53" s="4" t="s">
        <v>185</v>
      </c>
      <c r="I53" s="4"/>
      <c r="J53" s="4">
        <v>21774</v>
      </c>
      <c r="K53" s="4">
        <v>14657</v>
      </c>
      <c r="L53" s="4">
        <v>3311</v>
      </c>
      <c r="M53" s="4">
        <v>5215</v>
      </c>
      <c r="N53" s="4"/>
      <c r="O53" s="4">
        <v>15</v>
      </c>
      <c r="P53" s="4">
        <v>82</v>
      </c>
      <c r="Q53" s="4" t="s">
        <v>48</v>
      </c>
      <c r="R53" s="6" t="s">
        <v>41</v>
      </c>
      <c r="S53" s="94"/>
      <c r="T53" s="94"/>
      <c r="U53" s="94"/>
      <c r="V53" s="94"/>
      <c r="W53" s="94"/>
      <c r="X53" s="94"/>
      <c r="Y53" s="94"/>
      <c r="Z53" s="94"/>
      <c r="AA53" s="94"/>
    </row>
    <row r="54" spans="1:27" ht="18" customHeight="1">
      <c r="A54" s="7" t="s">
        <v>186</v>
      </c>
      <c r="B54" s="7" t="s">
        <v>187</v>
      </c>
      <c r="C54" s="7">
        <v>37</v>
      </c>
      <c r="D54" s="7" t="s">
        <v>52</v>
      </c>
      <c r="E54" s="5" t="s">
        <v>111</v>
      </c>
      <c r="F54" s="7" t="s">
        <v>37</v>
      </c>
      <c r="G54" s="9">
        <v>42103</v>
      </c>
      <c r="H54" s="7" t="s">
        <v>47</v>
      </c>
      <c r="I54" s="7">
        <v>96987</v>
      </c>
      <c r="J54" s="7">
        <v>31637</v>
      </c>
      <c r="K54" s="7">
        <v>6719</v>
      </c>
      <c r="L54" s="7">
        <v>3589</v>
      </c>
      <c r="M54" s="7">
        <v>6720</v>
      </c>
      <c r="N54" s="7">
        <v>132212</v>
      </c>
      <c r="O54" s="7">
        <v>22</v>
      </c>
      <c r="P54" s="7">
        <v>47</v>
      </c>
      <c r="Q54" s="7" t="s">
        <v>40</v>
      </c>
      <c r="R54" s="6" t="s">
        <v>41</v>
      </c>
      <c r="S54" s="94"/>
      <c r="T54" s="94"/>
      <c r="U54" s="94"/>
      <c r="V54" s="94"/>
      <c r="W54" s="94"/>
      <c r="X54" s="94"/>
      <c r="Y54" s="94"/>
      <c r="Z54" s="94"/>
      <c r="AA54" s="94"/>
    </row>
    <row r="55" spans="1:27" ht="18" customHeight="1">
      <c r="A55" s="4" t="s">
        <v>188</v>
      </c>
      <c r="B55" s="4" t="s">
        <v>189</v>
      </c>
      <c r="C55" s="4">
        <v>54</v>
      </c>
      <c r="D55" s="4" t="s">
        <v>44</v>
      </c>
      <c r="E55" s="10" t="s">
        <v>58</v>
      </c>
      <c r="F55" s="4" t="s">
        <v>105</v>
      </c>
      <c r="G55" s="12">
        <v>42487</v>
      </c>
      <c r="H55" s="4" t="s">
        <v>47</v>
      </c>
      <c r="I55" s="4">
        <v>39871</v>
      </c>
      <c r="J55" s="4">
        <v>15641</v>
      </c>
      <c r="K55" s="4">
        <v>3924</v>
      </c>
      <c r="L55" s="4">
        <v>5306</v>
      </c>
      <c r="M55" s="4">
        <v>7816</v>
      </c>
      <c r="N55" s="4">
        <v>56926</v>
      </c>
      <c r="O55" s="4">
        <v>17</v>
      </c>
      <c r="P55" s="4">
        <v>71</v>
      </c>
      <c r="Q55" s="4" t="s">
        <v>66</v>
      </c>
      <c r="R55" s="6" t="s">
        <v>41</v>
      </c>
      <c r="S55" s="94"/>
      <c r="T55" s="94"/>
      <c r="U55" s="94"/>
      <c r="V55" s="94"/>
      <c r="W55" s="94"/>
      <c r="X55" s="94"/>
      <c r="Y55" s="94"/>
      <c r="Z55" s="94"/>
      <c r="AA55" s="94"/>
    </row>
    <row r="56" spans="1:27" ht="18" customHeight="1">
      <c r="A56" s="7" t="s">
        <v>190</v>
      </c>
      <c r="B56" s="7" t="s">
        <v>191</v>
      </c>
      <c r="C56" s="7">
        <v>43</v>
      </c>
      <c r="D56" s="7" t="s">
        <v>44</v>
      </c>
      <c r="E56" s="13" t="s">
        <v>63</v>
      </c>
      <c r="F56" s="7" t="s">
        <v>115</v>
      </c>
      <c r="G56" s="9">
        <v>44998</v>
      </c>
      <c r="H56" s="7" t="s">
        <v>78</v>
      </c>
      <c r="I56" s="7">
        <v>49983</v>
      </c>
      <c r="J56" s="7">
        <v>24210</v>
      </c>
      <c r="K56" s="7">
        <v>10327</v>
      </c>
      <c r="L56" s="7">
        <v>6113</v>
      </c>
      <c r="M56" s="7">
        <v>2118</v>
      </c>
      <c r="N56" s="7">
        <v>88515</v>
      </c>
      <c r="O56" s="7">
        <v>16</v>
      </c>
      <c r="P56" s="7">
        <v>57</v>
      </c>
      <c r="Q56" s="7" t="s">
        <v>40</v>
      </c>
      <c r="R56" s="13" t="s">
        <v>67</v>
      </c>
      <c r="S56" s="94"/>
      <c r="T56" s="94"/>
      <c r="U56" s="94"/>
      <c r="V56" s="94"/>
      <c r="W56" s="94"/>
      <c r="X56" s="94"/>
      <c r="Y56" s="94"/>
      <c r="Z56" s="94"/>
      <c r="AA56" s="94"/>
    </row>
    <row r="57" spans="1:27" ht="18" customHeight="1">
      <c r="A57" s="4" t="s">
        <v>192</v>
      </c>
      <c r="B57" s="4" t="s">
        <v>193</v>
      </c>
      <c r="C57" s="4">
        <v>42</v>
      </c>
      <c r="D57" s="4" t="s">
        <v>44</v>
      </c>
      <c r="E57" s="11" t="s">
        <v>53</v>
      </c>
      <c r="F57" s="4" t="s">
        <v>54</v>
      </c>
      <c r="G57" s="12">
        <v>44635</v>
      </c>
      <c r="H57" s="4" t="s">
        <v>78</v>
      </c>
      <c r="I57" s="4">
        <v>95592</v>
      </c>
      <c r="J57" s="4">
        <v>37937</v>
      </c>
      <c r="K57" s="4">
        <v>7446</v>
      </c>
      <c r="L57" s="4">
        <v>4521</v>
      </c>
      <c r="M57" s="4">
        <v>7249</v>
      </c>
      <c r="N57" s="4">
        <v>138247</v>
      </c>
      <c r="O57" s="4">
        <v>23</v>
      </c>
      <c r="P57" s="4">
        <v>64</v>
      </c>
      <c r="Q57" s="4" t="s">
        <v>48</v>
      </c>
      <c r="R57" s="6" t="s">
        <v>41</v>
      </c>
      <c r="S57" s="94"/>
      <c r="T57" s="94"/>
      <c r="U57" s="94"/>
      <c r="V57" s="94"/>
      <c r="W57" s="94"/>
      <c r="X57" s="94"/>
      <c r="Y57" s="94"/>
      <c r="Z57" s="94"/>
      <c r="AA57" s="94"/>
    </row>
    <row r="58" spans="1:27" ht="18" customHeight="1">
      <c r="A58" s="7" t="s">
        <v>194</v>
      </c>
      <c r="B58" s="7" t="s">
        <v>195</v>
      </c>
      <c r="C58" s="7">
        <v>24</v>
      </c>
      <c r="D58" s="7" t="s">
        <v>44</v>
      </c>
      <c r="E58" s="5" t="s">
        <v>111</v>
      </c>
      <c r="F58" s="7" t="s">
        <v>128</v>
      </c>
      <c r="G58" s="9">
        <v>44207</v>
      </c>
      <c r="H58" s="7" t="s">
        <v>196</v>
      </c>
      <c r="I58" s="7">
        <v>86993</v>
      </c>
      <c r="J58" s="7">
        <v>38368</v>
      </c>
      <c r="K58" s="7">
        <v>8246</v>
      </c>
      <c r="L58" s="7">
        <v>3162</v>
      </c>
      <c r="M58" s="7">
        <v>6436</v>
      </c>
      <c r="N58" s="7">
        <v>130333</v>
      </c>
      <c r="O58" s="7">
        <v>25</v>
      </c>
      <c r="P58" s="7">
        <v>49</v>
      </c>
      <c r="Q58" s="7" t="s">
        <v>40</v>
      </c>
      <c r="R58" s="13" t="s">
        <v>67</v>
      </c>
      <c r="S58" s="94"/>
      <c r="T58" s="94"/>
      <c r="U58" s="94"/>
      <c r="V58" s="94"/>
      <c r="W58" s="94"/>
      <c r="X58" s="94"/>
      <c r="Y58" s="94"/>
      <c r="Z58" s="94"/>
      <c r="AA58" s="94"/>
    </row>
    <row r="59" spans="1:27" ht="18" customHeight="1">
      <c r="A59" s="4" t="s">
        <v>197</v>
      </c>
      <c r="B59" s="4" t="s">
        <v>198</v>
      </c>
      <c r="C59" s="4">
        <v>43</v>
      </c>
      <c r="D59" s="4" t="s">
        <v>44</v>
      </c>
      <c r="E59" s="5" t="s">
        <v>111</v>
      </c>
      <c r="F59" s="4" t="s">
        <v>112</v>
      </c>
      <c r="G59" s="12">
        <v>45139</v>
      </c>
      <c r="H59" s="4" t="s">
        <v>90</v>
      </c>
      <c r="I59" s="4">
        <v>119692</v>
      </c>
      <c r="J59" s="4">
        <v>39358</v>
      </c>
      <c r="K59" s="4">
        <v>12727</v>
      </c>
      <c r="L59" s="4">
        <v>7945</v>
      </c>
      <c r="M59" s="4">
        <v>2264</v>
      </c>
      <c r="N59" s="4">
        <v>177458</v>
      </c>
      <c r="O59" s="4">
        <v>16</v>
      </c>
      <c r="P59" s="4">
        <v>70</v>
      </c>
      <c r="Q59" s="4" t="s">
        <v>40</v>
      </c>
      <c r="R59" s="10" t="s">
        <v>49</v>
      </c>
      <c r="S59" s="94"/>
      <c r="T59" s="94"/>
      <c r="U59" s="94"/>
      <c r="V59" s="94"/>
      <c r="W59" s="94"/>
      <c r="X59" s="94"/>
      <c r="Y59" s="94"/>
      <c r="Z59" s="94"/>
      <c r="AA59" s="94"/>
    </row>
    <row r="60" spans="1:27" ht="18" customHeight="1">
      <c r="A60" s="7" t="s">
        <v>199</v>
      </c>
      <c r="B60" s="7" t="s">
        <v>200</v>
      </c>
      <c r="C60" s="7">
        <v>36</v>
      </c>
      <c r="D60" s="7" t="s">
        <v>44</v>
      </c>
      <c r="E60" s="11" t="s">
        <v>53</v>
      </c>
      <c r="F60" s="7" t="s">
        <v>87</v>
      </c>
      <c r="G60" s="9">
        <v>44158</v>
      </c>
      <c r="H60" s="7" t="s">
        <v>47</v>
      </c>
      <c r="I60" s="7">
        <v>88956</v>
      </c>
      <c r="J60" s="7">
        <v>42208</v>
      </c>
      <c r="K60" s="7">
        <v>2588</v>
      </c>
      <c r="L60" s="7">
        <v>5058</v>
      </c>
      <c r="M60" s="7">
        <v>1560</v>
      </c>
      <c r="N60" s="7">
        <v>137250</v>
      </c>
      <c r="O60" s="7">
        <v>18</v>
      </c>
      <c r="P60" s="7">
        <v>80</v>
      </c>
      <c r="Q60" s="7" t="s">
        <v>40</v>
      </c>
      <c r="R60" s="6" t="s">
        <v>41</v>
      </c>
      <c r="S60" s="94"/>
      <c r="T60" s="94"/>
      <c r="U60" s="94"/>
      <c r="V60" s="94"/>
      <c r="W60" s="94"/>
      <c r="X60" s="94"/>
      <c r="Y60" s="94"/>
      <c r="Z60" s="94"/>
      <c r="AA60" s="94"/>
    </row>
    <row r="61" spans="1:27" ht="18" customHeight="1">
      <c r="A61" s="4" t="s">
        <v>201</v>
      </c>
      <c r="B61" s="4" t="s">
        <v>202</v>
      </c>
      <c r="C61" s="4">
        <v>55</v>
      </c>
      <c r="D61" s="4" t="s">
        <v>52</v>
      </c>
      <c r="E61" s="5" t="s">
        <v>111</v>
      </c>
      <c r="F61" s="4" t="s">
        <v>128</v>
      </c>
      <c r="G61" s="12">
        <v>43467</v>
      </c>
      <c r="H61" s="4" t="s">
        <v>84</v>
      </c>
      <c r="I61" s="4">
        <v>67516</v>
      </c>
      <c r="J61" s="4">
        <v>31005</v>
      </c>
      <c r="K61" s="4">
        <v>6806</v>
      </c>
      <c r="L61" s="4">
        <v>2936</v>
      </c>
      <c r="M61" s="4">
        <v>4070</v>
      </c>
      <c r="N61" s="4">
        <v>104193</v>
      </c>
      <c r="O61" s="4">
        <v>21</v>
      </c>
      <c r="P61" s="4">
        <v>49</v>
      </c>
      <c r="Q61" s="4" t="s">
        <v>73</v>
      </c>
      <c r="R61" s="13" t="s">
        <v>67</v>
      </c>
      <c r="S61" s="94"/>
      <c r="T61" s="94"/>
      <c r="U61" s="94"/>
      <c r="V61" s="94"/>
      <c r="W61" s="94"/>
      <c r="X61" s="94"/>
      <c r="Y61" s="94"/>
      <c r="Z61" s="94"/>
      <c r="AA61" s="94"/>
    </row>
    <row r="62" spans="1:27" ht="18" customHeight="1">
      <c r="A62" s="7" t="s">
        <v>203</v>
      </c>
      <c r="B62" s="7" t="s">
        <v>204</v>
      </c>
      <c r="C62" s="7">
        <v>38</v>
      </c>
      <c r="D62" s="7" t="s">
        <v>44</v>
      </c>
      <c r="E62" s="13" t="s">
        <v>63</v>
      </c>
      <c r="F62" s="7" t="s">
        <v>70</v>
      </c>
      <c r="G62" s="9">
        <v>42671</v>
      </c>
      <c r="H62" s="7" t="s">
        <v>84</v>
      </c>
      <c r="I62" s="7">
        <v>75140</v>
      </c>
      <c r="J62" s="7">
        <v>31855</v>
      </c>
      <c r="K62" s="7">
        <v>5945</v>
      </c>
      <c r="L62" s="7">
        <v>4076</v>
      </c>
      <c r="M62" s="7">
        <v>5777</v>
      </c>
      <c r="N62" s="7">
        <v>111239</v>
      </c>
      <c r="O62" s="7">
        <v>17</v>
      </c>
      <c r="P62" s="7">
        <v>54</v>
      </c>
      <c r="Q62" s="7" t="s">
        <v>66</v>
      </c>
      <c r="R62" s="6" t="s">
        <v>41</v>
      </c>
      <c r="S62" s="94"/>
      <c r="T62" s="94"/>
      <c r="U62" s="94"/>
      <c r="V62" s="94"/>
      <c r="W62" s="94"/>
      <c r="X62" s="94"/>
      <c r="Y62" s="94"/>
      <c r="Z62" s="94"/>
      <c r="AA62" s="94"/>
    </row>
    <row r="63" spans="1:27" ht="18" customHeight="1">
      <c r="A63" s="4" t="s">
        <v>205</v>
      </c>
      <c r="B63" s="4" t="s">
        <v>206</v>
      </c>
      <c r="C63" s="4">
        <v>34</v>
      </c>
      <c r="D63" s="4" t="s">
        <v>44</v>
      </c>
      <c r="E63" s="11" t="s">
        <v>207</v>
      </c>
      <c r="F63" s="4" t="s">
        <v>208</v>
      </c>
      <c r="G63" s="4" t="s">
        <v>209</v>
      </c>
      <c r="H63" s="4" t="s">
        <v>84</v>
      </c>
      <c r="I63" s="4">
        <v>102014</v>
      </c>
      <c r="J63" s="4">
        <v>36708</v>
      </c>
      <c r="K63" s="4">
        <v>8951</v>
      </c>
      <c r="L63" s="4">
        <v>5655</v>
      </c>
      <c r="M63" s="4">
        <v>3048</v>
      </c>
      <c r="N63" s="4">
        <v>150280</v>
      </c>
      <c r="O63" s="4">
        <v>22</v>
      </c>
      <c r="P63" s="4">
        <v>94</v>
      </c>
      <c r="Q63" s="4" t="s">
        <v>66</v>
      </c>
      <c r="R63" s="6" t="s">
        <v>41</v>
      </c>
      <c r="S63" s="94"/>
      <c r="T63" s="94"/>
      <c r="U63" s="94"/>
      <c r="V63" s="94"/>
      <c r="W63" s="94"/>
      <c r="X63" s="94"/>
      <c r="Y63" s="94"/>
      <c r="Z63" s="94"/>
      <c r="AA63" s="94"/>
    </row>
    <row r="64" spans="1:27" ht="18" customHeight="1">
      <c r="A64" s="7" t="s">
        <v>210</v>
      </c>
      <c r="B64" s="7" t="s">
        <v>211</v>
      </c>
      <c r="C64" s="7">
        <v>53</v>
      </c>
      <c r="D64" s="7" t="s">
        <v>52</v>
      </c>
      <c r="E64" s="10" t="s">
        <v>58</v>
      </c>
      <c r="F64" s="7" t="s">
        <v>93</v>
      </c>
      <c r="G64" s="9">
        <v>43809</v>
      </c>
      <c r="H64" s="7" t="s">
        <v>78</v>
      </c>
      <c r="I64" s="7">
        <v>27875</v>
      </c>
      <c r="J64" s="7">
        <v>13815</v>
      </c>
      <c r="K64" s="7">
        <v>12784</v>
      </c>
      <c r="L64" s="7">
        <v>3242</v>
      </c>
      <c r="M64" s="7">
        <v>3248</v>
      </c>
      <c r="N64" s="7">
        <v>54468</v>
      </c>
      <c r="O64" s="7">
        <v>15</v>
      </c>
      <c r="P64" s="7">
        <v>76</v>
      </c>
      <c r="Q64" s="7" t="s">
        <v>73</v>
      </c>
      <c r="R64" s="6" t="s">
        <v>41</v>
      </c>
      <c r="S64" s="94"/>
      <c r="T64" s="94"/>
      <c r="U64" s="94"/>
      <c r="V64" s="94"/>
      <c r="W64" s="94"/>
      <c r="X64" s="94"/>
      <c r="Y64" s="94"/>
      <c r="Z64" s="94"/>
      <c r="AA64" s="94"/>
    </row>
    <row r="65" spans="1:27" ht="18" customHeight="1">
      <c r="A65" s="4" t="s">
        <v>212</v>
      </c>
      <c r="B65" s="4" t="s">
        <v>104</v>
      </c>
      <c r="C65" s="4">
        <v>28</v>
      </c>
      <c r="D65" s="4" t="s">
        <v>52</v>
      </c>
      <c r="E65" s="10" t="s">
        <v>58</v>
      </c>
      <c r="F65" s="4" t="s">
        <v>93</v>
      </c>
      <c r="G65" s="12">
        <v>43411</v>
      </c>
      <c r="H65" s="4" t="s">
        <v>47</v>
      </c>
      <c r="I65" s="4">
        <v>106381</v>
      </c>
      <c r="J65" s="4">
        <v>37247</v>
      </c>
      <c r="K65" s="4">
        <v>14379</v>
      </c>
      <c r="L65" s="4">
        <v>5905</v>
      </c>
      <c r="M65" s="4">
        <v>7287</v>
      </c>
      <c r="N65" s="4">
        <v>156625</v>
      </c>
      <c r="O65" s="4">
        <v>25</v>
      </c>
      <c r="P65" s="4">
        <v>83</v>
      </c>
      <c r="Q65" s="4" t="s">
        <v>66</v>
      </c>
      <c r="R65" s="10" t="s">
        <v>49</v>
      </c>
      <c r="S65" s="94"/>
      <c r="T65" s="94"/>
      <c r="U65" s="94"/>
      <c r="V65" s="94"/>
      <c r="W65" s="94"/>
      <c r="X65" s="94"/>
      <c r="Y65" s="94"/>
      <c r="Z65" s="94"/>
      <c r="AA65" s="94"/>
    </row>
    <row r="66" spans="1:27" ht="18" customHeight="1">
      <c r="A66" s="7" t="s">
        <v>213</v>
      </c>
      <c r="B66" s="7" t="s">
        <v>214</v>
      </c>
      <c r="C66" s="7">
        <v>55</v>
      </c>
      <c r="D66" s="7" t="s">
        <v>44</v>
      </c>
      <c r="E66" s="8" t="s">
        <v>45</v>
      </c>
      <c r="F66" s="7" t="s">
        <v>108</v>
      </c>
      <c r="G66" s="9">
        <v>42776</v>
      </c>
      <c r="H66" s="7" t="s">
        <v>90</v>
      </c>
      <c r="I66" s="7">
        <v>67823</v>
      </c>
      <c r="J66" s="7">
        <v>30486</v>
      </c>
      <c r="K66" s="7">
        <v>4877</v>
      </c>
      <c r="L66" s="7">
        <v>1644</v>
      </c>
      <c r="M66" s="7">
        <v>2082</v>
      </c>
      <c r="N66" s="7">
        <v>102748</v>
      </c>
      <c r="O66" s="7">
        <v>23</v>
      </c>
      <c r="P66" s="7">
        <v>96</v>
      </c>
      <c r="Q66" s="7" t="s">
        <v>60</v>
      </c>
      <c r="R66" s="6" t="s">
        <v>41</v>
      </c>
      <c r="S66" s="94"/>
      <c r="T66" s="94"/>
      <c r="U66" s="94"/>
      <c r="V66" s="94"/>
      <c r="W66" s="94"/>
      <c r="X66" s="94"/>
      <c r="Y66" s="94"/>
      <c r="Z66" s="94"/>
      <c r="AA66" s="94"/>
    </row>
    <row r="67" spans="1:27" ht="18" customHeight="1">
      <c r="A67" s="4" t="s">
        <v>215</v>
      </c>
      <c r="B67" s="4" t="s">
        <v>216</v>
      </c>
      <c r="C67" s="4">
        <v>45</v>
      </c>
      <c r="D67" s="4" t="s">
        <v>44</v>
      </c>
      <c r="E67" s="5" t="s">
        <v>111</v>
      </c>
      <c r="F67" s="4" t="s">
        <v>217</v>
      </c>
      <c r="G67" s="12">
        <v>43876</v>
      </c>
      <c r="H67" s="4" t="s">
        <v>55</v>
      </c>
      <c r="I67" s="4">
        <v>34869</v>
      </c>
      <c r="J67" s="4">
        <v>11442</v>
      </c>
      <c r="K67" s="4">
        <v>5696</v>
      </c>
      <c r="L67" s="4">
        <v>7046</v>
      </c>
      <c r="M67" s="4">
        <v>6540</v>
      </c>
      <c r="N67" s="4">
        <v>52513</v>
      </c>
      <c r="O67" s="4">
        <v>26</v>
      </c>
      <c r="P67" s="4">
        <v>83</v>
      </c>
      <c r="Q67" s="4" t="s">
        <v>48</v>
      </c>
      <c r="R67" s="6" t="s">
        <v>41</v>
      </c>
      <c r="S67" s="94"/>
      <c r="T67" s="94"/>
      <c r="U67" s="94"/>
      <c r="V67" s="94"/>
      <c r="W67" s="94"/>
      <c r="X67" s="94"/>
      <c r="Y67" s="94"/>
      <c r="Z67" s="94"/>
      <c r="AA67" s="94"/>
    </row>
    <row r="68" spans="1:27" ht="18" customHeight="1">
      <c r="A68" s="7" t="s">
        <v>218</v>
      </c>
      <c r="B68" s="7" t="s">
        <v>219</v>
      </c>
      <c r="C68" s="7">
        <v>52</v>
      </c>
      <c r="D68" s="7" t="s">
        <v>52</v>
      </c>
      <c r="E68" s="8" t="s">
        <v>45</v>
      </c>
      <c r="F68" s="7" t="s">
        <v>81</v>
      </c>
      <c r="G68" s="9">
        <v>44159</v>
      </c>
      <c r="H68" s="7" t="s">
        <v>55</v>
      </c>
      <c r="I68" s="7">
        <v>113125</v>
      </c>
      <c r="J68" s="7">
        <v>39869</v>
      </c>
      <c r="K68" s="7">
        <v>8242</v>
      </c>
      <c r="L68" s="7">
        <v>6737</v>
      </c>
      <c r="M68" s="7">
        <v>6230</v>
      </c>
      <c r="N68" s="7">
        <v>161743</v>
      </c>
      <c r="O68" s="7">
        <v>20</v>
      </c>
      <c r="P68" s="7">
        <v>46</v>
      </c>
      <c r="Q68" s="7" t="s">
        <v>48</v>
      </c>
      <c r="R68" s="13" t="s">
        <v>67</v>
      </c>
      <c r="S68" s="94"/>
      <c r="T68" s="94"/>
      <c r="U68" s="94"/>
      <c r="V68" s="94"/>
      <c r="W68" s="94"/>
      <c r="X68" s="94"/>
      <c r="Y68" s="94"/>
      <c r="Z68" s="94"/>
      <c r="AA68" s="94"/>
    </row>
    <row r="69" spans="1:27" ht="18" customHeight="1">
      <c r="A69" s="4" t="s">
        <v>220</v>
      </c>
      <c r="B69" s="4" t="s">
        <v>221</v>
      </c>
      <c r="C69" s="4">
        <v>28</v>
      </c>
      <c r="D69" s="4" t="s">
        <v>52</v>
      </c>
      <c r="E69" s="13" t="s">
        <v>63</v>
      </c>
      <c r="F69" s="4" t="s">
        <v>64</v>
      </c>
      <c r="G69" s="12">
        <v>44905</v>
      </c>
      <c r="H69" s="4" t="s">
        <v>196</v>
      </c>
      <c r="I69" s="4">
        <v>110097</v>
      </c>
      <c r="J69" s="4">
        <v>42020</v>
      </c>
      <c r="K69" s="4">
        <v>4290</v>
      </c>
      <c r="L69" s="4">
        <v>371</v>
      </c>
      <c r="M69" s="4">
        <v>1304</v>
      </c>
      <c r="N69" s="4">
        <v>155474</v>
      </c>
      <c r="O69" s="4">
        <v>19</v>
      </c>
      <c r="P69" s="4">
        <v>71</v>
      </c>
      <c r="Q69" s="4" t="s">
        <v>66</v>
      </c>
      <c r="R69" s="13" t="s">
        <v>67</v>
      </c>
      <c r="S69" s="94"/>
      <c r="T69" s="94"/>
      <c r="U69" s="94"/>
      <c r="V69" s="94"/>
      <c r="W69" s="94"/>
      <c r="X69" s="94"/>
      <c r="Y69" s="94"/>
      <c r="Z69" s="94"/>
      <c r="AA69" s="94"/>
    </row>
    <row r="70" spans="1:27" ht="18" customHeight="1">
      <c r="A70" s="7" t="s">
        <v>222</v>
      </c>
      <c r="B70" s="7" t="s">
        <v>223</v>
      </c>
      <c r="C70" s="7">
        <v>35</v>
      </c>
      <c r="D70" s="7" t="s">
        <v>44</v>
      </c>
      <c r="E70" s="11" t="s">
        <v>53</v>
      </c>
      <c r="F70" s="7" t="s">
        <v>87</v>
      </c>
      <c r="G70" s="9">
        <v>42937</v>
      </c>
      <c r="H70" s="7" t="s">
        <v>84</v>
      </c>
      <c r="I70" s="7">
        <v>37978</v>
      </c>
      <c r="J70" s="7">
        <v>17726</v>
      </c>
      <c r="K70" s="7">
        <v>12086</v>
      </c>
      <c r="L70" s="7">
        <v>3343</v>
      </c>
      <c r="M70" s="7">
        <v>3291</v>
      </c>
      <c r="N70" s="7">
        <v>67842</v>
      </c>
      <c r="O70" s="7">
        <v>15</v>
      </c>
      <c r="P70" s="7">
        <v>84</v>
      </c>
      <c r="Q70" s="7" t="s">
        <v>40</v>
      </c>
      <c r="R70" s="6" t="s">
        <v>41</v>
      </c>
      <c r="S70" s="94"/>
      <c r="T70" s="94"/>
      <c r="U70" s="94"/>
      <c r="V70" s="94"/>
      <c r="W70" s="94"/>
      <c r="X70" s="94"/>
      <c r="Y70" s="94"/>
      <c r="Z70" s="94"/>
      <c r="AA70" s="94"/>
    </row>
    <row r="71" spans="1:27" ht="18" customHeight="1">
      <c r="A71" s="4" t="s">
        <v>224</v>
      </c>
      <c r="B71" s="4" t="s">
        <v>225</v>
      </c>
      <c r="C71" s="4">
        <v>23</v>
      </c>
      <c r="D71" s="4" t="s">
        <v>52</v>
      </c>
      <c r="E71" s="14" t="s">
        <v>76</v>
      </c>
      <c r="F71" s="4" t="s">
        <v>226</v>
      </c>
      <c r="G71" s="12">
        <v>45242</v>
      </c>
      <c r="H71" s="4" t="s">
        <v>55</v>
      </c>
      <c r="I71" s="4">
        <v>32936</v>
      </c>
      <c r="J71" s="4">
        <v>12503</v>
      </c>
      <c r="K71" s="4">
        <v>5109</v>
      </c>
      <c r="L71" s="4">
        <v>7931</v>
      </c>
      <c r="M71" s="4">
        <v>2000</v>
      </c>
      <c r="N71" s="4">
        <v>56479</v>
      </c>
      <c r="O71" s="4">
        <v>22</v>
      </c>
      <c r="P71" s="4">
        <v>45</v>
      </c>
      <c r="Q71" s="4" t="s">
        <v>48</v>
      </c>
      <c r="R71" s="6" t="s">
        <v>41</v>
      </c>
      <c r="S71" s="94"/>
      <c r="T71" s="94"/>
      <c r="U71" s="94"/>
      <c r="V71" s="94"/>
      <c r="W71" s="94"/>
      <c r="X71" s="94"/>
      <c r="Y71" s="94"/>
      <c r="Z71" s="94"/>
      <c r="AA71" s="94"/>
    </row>
    <row r="72" spans="1:27" ht="18" customHeight="1">
      <c r="A72" s="7" t="s">
        <v>227</v>
      </c>
      <c r="B72" s="7" t="s">
        <v>228</v>
      </c>
      <c r="C72" s="7">
        <v>39</v>
      </c>
      <c r="D72" s="7" t="s">
        <v>52</v>
      </c>
      <c r="E72" s="13" t="s">
        <v>63</v>
      </c>
      <c r="F72" s="7" t="s">
        <v>64</v>
      </c>
      <c r="G72" s="9">
        <v>45035</v>
      </c>
      <c r="H72" s="7" t="s">
        <v>78</v>
      </c>
      <c r="I72" s="7">
        <v>53305</v>
      </c>
      <c r="J72" s="7">
        <v>24659</v>
      </c>
      <c r="K72" s="7">
        <v>5817</v>
      </c>
      <c r="L72" s="7">
        <v>2691</v>
      </c>
      <c r="M72" s="7">
        <v>7343</v>
      </c>
      <c r="N72" s="7">
        <v>79129</v>
      </c>
      <c r="O72" s="7">
        <v>17</v>
      </c>
      <c r="P72" s="7">
        <v>90</v>
      </c>
      <c r="Q72" s="7" t="s">
        <v>60</v>
      </c>
      <c r="R72" s="6" t="s">
        <v>41</v>
      </c>
      <c r="S72" s="94"/>
      <c r="T72" s="94"/>
      <c r="U72" s="94"/>
      <c r="V72" s="94"/>
      <c r="W72" s="94"/>
      <c r="X72" s="94"/>
      <c r="Y72" s="94"/>
      <c r="Z72" s="94"/>
      <c r="AA72" s="94"/>
    </row>
    <row r="73" spans="1:27" ht="18" customHeight="1">
      <c r="A73" s="4" t="s">
        <v>229</v>
      </c>
      <c r="B73" s="4" t="s">
        <v>230</v>
      </c>
      <c r="C73" s="4">
        <v>25</v>
      </c>
      <c r="D73" s="4" t="s">
        <v>44</v>
      </c>
      <c r="E73" s="13" t="s">
        <v>63</v>
      </c>
      <c r="F73" s="4" t="s">
        <v>64</v>
      </c>
      <c r="G73" s="12">
        <v>42064</v>
      </c>
      <c r="H73" s="4" t="s">
        <v>196</v>
      </c>
      <c r="I73" s="4">
        <v>71955</v>
      </c>
      <c r="J73" s="4">
        <v>32955</v>
      </c>
      <c r="K73" s="4">
        <v>5898</v>
      </c>
      <c r="L73" s="4">
        <v>4823</v>
      </c>
      <c r="M73" s="4">
        <v>3652</v>
      </c>
      <c r="N73" s="4">
        <v>111979</v>
      </c>
      <c r="O73" s="4">
        <v>-15</v>
      </c>
      <c r="P73" s="4">
        <v>51</v>
      </c>
      <c r="Q73" s="4" t="s">
        <v>40</v>
      </c>
      <c r="R73" s="10" t="s">
        <v>49</v>
      </c>
      <c r="S73" s="94"/>
      <c r="T73" s="94"/>
      <c r="U73" s="94"/>
      <c r="V73" s="94"/>
      <c r="W73" s="94"/>
      <c r="X73" s="94"/>
      <c r="Y73" s="94"/>
      <c r="Z73" s="94"/>
      <c r="AA73" s="94"/>
    </row>
    <row r="74" spans="1:27" ht="18" customHeight="1">
      <c r="A74" s="7" t="s">
        <v>231</v>
      </c>
      <c r="B74" s="7" t="s">
        <v>232</v>
      </c>
      <c r="C74" s="7">
        <v>55</v>
      </c>
      <c r="D74" s="7" t="s">
        <v>52</v>
      </c>
      <c r="E74" s="14" t="s">
        <v>76</v>
      </c>
      <c r="F74" s="7" t="s">
        <v>99</v>
      </c>
      <c r="G74" s="9">
        <v>44798</v>
      </c>
      <c r="H74" s="7" t="s">
        <v>65</v>
      </c>
      <c r="I74" s="7">
        <v>72453</v>
      </c>
      <c r="J74" s="7">
        <v>29173</v>
      </c>
      <c r="K74" s="7">
        <v>3786</v>
      </c>
      <c r="L74" s="7">
        <v>3702</v>
      </c>
      <c r="M74" s="7">
        <v>5127</v>
      </c>
      <c r="N74" s="7">
        <v>103987</v>
      </c>
      <c r="O74" s="7">
        <v>18</v>
      </c>
      <c r="P74" s="7">
        <v>100</v>
      </c>
      <c r="Q74" s="7" t="s">
        <v>40</v>
      </c>
      <c r="R74" s="6" t="s">
        <v>41</v>
      </c>
      <c r="S74" s="94"/>
      <c r="T74" s="94"/>
      <c r="U74" s="94"/>
      <c r="V74" s="94"/>
      <c r="W74" s="94"/>
      <c r="X74" s="94"/>
      <c r="Y74" s="94"/>
      <c r="Z74" s="94"/>
      <c r="AA74" s="94"/>
    </row>
    <row r="75" spans="1:27" ht="18" customHeight="1">
      <c r="A75" s="4" t="s">
        <v>233</v>
      </c>
      <c r="B75" s="4" t="s">
        <v>234</v>
      </c>
      <c r="C75" s="4">
        <v>26</v>
      </c>
      <c r="D75" s="4" t="s">
        <v>52</v>
      </c>
      <c r="E75" s="5" t="s">
        <v>111</v>
      </c>
      <c r="F75" s="4" t="s">
        <v>37</v>
      </c>
      <c r="G75" s="12">
        <v>44504</v>
      </c>
      <c r="H75" s="4" t="s">
        <v>196</v>
      </c>
      <c r="I75" s="4">
        <v>89260</v>
      </c>
      <c r="J75" s="4">
        <v>39496</v>
      </c>
      <c r="K75" s="4">
        <v>9267</v>
      </c>
      <c r="L75" s="4">
        <v>602</v>
      </c>
      <c r="M75" s="4">
        <v>1661</v>
      </c>
      <c r="N75" s="4">
        <v>136964</v>
      </c>
      <c r="O75" s="4">
        <v>20</v>
      </c>
      <c r="P75" s="4">
        <v>78</v>
      </c>
      <c r="Q75" s="4" t="s">
        <v>48</v>
      </c>
      <c r="R75" s="6" t="s">
        <v>41</v>
      </c>
      <c r="S75" s="94"/>
      <c r="T75" s="94"/>
      <c r="U75" s="94"/>
      <c r="V75" s="94"/>
      <c r="W75" s="94"/>
      <c r="X75" s="94"/>
      <c r="Y75" s="94"/>
      <c r="Z75" s="94"/>
      <c r="AA75" s="94"/>
    </row>
    <row r="76" spans="1:27" ht="18" customHeight="1">
      <c r="A76" s="7" t="s">
        <v>235</v>
      </c>
      <c r="B76" s="7" t="s">
        <v>236</v>
      </c>
      <c r="C76" s="7">
        <v>49</v>
      </c>
      <c r="D76" s="7" t="s">
        <v>52</v>
      </c>
      <c r="E76" s="10" t="s">
        <v>58</v>
      </c>
      <c r="F76" s="7" t="s">
        <v>93</v>
      </c>
      <c r="G76" s="9">
        <v>44486</v>
      </c>
      <c r="H76" s="7" t="s">
        <v>84</v>
      </c>
      <c r="I76" s="7">
        <v>63652</v>
      </c>
      <c r="J76" s="7">
        <v>24872</v>
      </c>
      <c r="K76" s="7">
        <v>11919</v>
      </c>
      <c r="L76" s="7">
        <v>3524</v>
      </c>
      <c r="M76" s="7">
        <v>1812</v>
      </c>
      <c r="N76" s="7">
        <v>102155</v>
      </c>
      <c r="O76" s="7">
        <v>26</v>
      </c>
      <c r="P76" s="7">
        <v>47</v>
      </c>
      <c r="Q76" s="7" t="s">
        <v>66</v>
      </c>
      <c r="R76" s="6" t="s">
        <v>41</v>
      </c>
      <c r="S76" s="94"/>
      <c r="T76" s="94"/>
      <c r="U76" s="94"/>
      <c r="V76" s="94"/>
      <c r="W76" s="94"/>
      <c r="X76" s="94"/>
      <c r="Y76" s="94"/>
      <c r="Z76" s="94"/>
      <c r="AA76" s="94"/>
    </row>
    <row r="77" spans="1:27" ht="18" customHeight="1">
      <c r="A77" s="4" t="s">
        <v>237</v>
      </c>
      <c r="B77" s="4" t="s">
        <v>238</v>
      </c>
      <c r="C77" s="4">
        <v>26</v>
      </c>
      <c r="D77" s="4" t="s">
        <v>44</v>
      </c>
      <c r="E77" s="5" t="s">
        <v>111</v>
      </c>
      <c r="F77" s="4" t="s">
        <v>37</v>
      </c>
      <c r="G77" s="12">
        <v>42535</v>
      </c>
      <c r="H77" s="4" t="s">
        <v>55</v>
      </c>
      <c r="I77" s="4">
        <v>65963</v>
      </c>
      <c r="J77" s="4">
        <v>28563</v>
      </c>
      <c r="K77" s="4">
        <v>8132</v>
      </c>
      <c r="L77" s="4">
        <v>7811</v>
      </c>
      <c r="M77" s="4">
        <v>2250</v>
      </c>
      <c r="N77" s="4">
        <v>108219</v>
      </c>
      <c r="O77" s="4">
        <v>25</v>
      </c>
      <c r="P77" s="4">
        <v>99</v>
      </c>
      <c r="Q77" s="4" t="s">
        <v>40</v>
      </c>
      <c r="R77" s="6" t="s">
        <v>41</v>
      </c>
      <c r="S77" s="94"/>
      <c r="T77" s="94"/>
      <c r="U77" s="94"/>
      <c r="V77" s="94"/>
      <c r="W77" s="94"/>
      <c r="X77" s="94"/>
      <c r="Y77" s="94"/>
      <c r="Z77" s="94"/>
      <c r="AA77" s="94"/>
    </row>
    <row r="78" spans="1:27" ht="18" customHeight="1">
      <c r="A78" s="7" t="s">
        <v>239</v>
      </c>
      <c r="B78" s="7" t="s">
        <v>240</v>
      </c>
      <c r="C78" s="7">
        <v>49</v>
      </c>
      <c r="D78" s="7" t="s">
        <v>44</v>
      </c>
      <c r="E78" s="14" t="s">
        <v>76</v>
      </c>
      <c r="F78" s="7" t="s">
        <v>226</v>
      </c>
      <c r="G78" s="9">
        <v>42980</v>
      </c>
      <c r="H78" s="7" t="s">
        <v>78</v>
      </c>
      <c r="I78" s="7"/>
      <c r="J78" s="7">
        <v>50051</v>
      </c>
      <c r="K78" s="7">
        <v>11202</v>
      </c>
      <c r="L78" s="7">
        <v>2700</v>
      </c>
      <c r="M78" s="7">
        <v>6488</v>
      </c>
      <c r="N78" s="7"/>
      <c r="O78" s="7">
        <v>16</v>
      </c>
      <c r="P78" s="7">
        <v>66</v>
      </c>
      <c r="Q78" s="7" t="s">
        <v>48</v>
      </c>
      <c r="R78" s="10" t="s">
        <v>49</v>
      </c>
      <c r="S78" s="94"/>
      <c r="T78" s="94"/>
      <c r="U78" s="94"/>
      <c r="V78" s="94"/>
      <c r="W78" s="94"/>
      <c r="X78" s="94"/>
      <c r="Y78" s="94"/>
      <c r="Z78" s="94"/>
      <c r="AA78" s="94"/>
    </row>
    <row r="79" spans="1:27" ht="18" customHeight="1">
      <c r="A79" s="4" t="s">
        <v>241</v>
      </c>
      <c r="B79" s="4" t="s">
        <v>242</v>
      </c>
      <c r="C79" s="4">
        <v>29</v>
      </c>
      <c r="D79" s="4" t="s">
        <v>44</v>
      </c>
      <c r="E79" s="11" t="s">
        <v>53</v>
      </c>
      <c r="F79" s="4" t="s">
        <v>54</v>
      </c>
      <c r="G79" s="12">
        <v>42660</v>
      </c>
      <c r="H79" s="4" t="s">
        <v>78</v>
      </c>
      <c r="I79" s="4">
        <v>52884</v>
      </c>
      <c r="J79" s="4">
        <v>17502</v>
      </c>
      <c r="K79" s="4">
        <v>9900</v>
      </c>
      <c r="L79" s="4">
        <v>1837</v>
      </c>
      <c r="M79" s="4">
        <v>7940</v>
      </c>
      <c r="N79" s="4">
        <v>74183</v>
      </c>
      <c r="O79" s="4">
        <v>16</v>
      </c>
      <c r="P79" s="4">
        <v>62</v>
      </c>
      <c r="Q79" s="4" t="s">
        <v>66</v>
      </c>
      <c r="R79" s="6" t="s">
        <v>41</v>
      </c>
      <c r="S79" s="94"/>
      <c r="T79" s="94"/>
      <c r="U79" s="94"/>
      <c r="V79" s="94"/>
      <c r="W79" s="94"/>
      <c r="X79" s="94"/>
      <c r="Y79" s="94"/>
      <c r="Z79" s="94"/>
      <c r="AA79" s="94"/>
    </row>
    <row r="80" spans="1:27" ht="18" customHeight="1">
      <c r="A80" s="7" t="s">
        <v>243</v>
      </c>
      <c r="B80" s="7" t="s">
        <v>244</v>
      </c>
      <c r="C80" s="7">
        <v>31</v>
      </c>
      <c r="D80" s="7" t="s">
        <v>52</v>
      </c>
      <c r="E80" s="10" t="s">
        <v>58</v>
      </c>
      <c r="F80" s="7" t="s">
        <v>96</v>
      </c>
      <c r="G80" s="9">
        <v>43471</v>
      </c>
      <c r="H80" s="7" t="s">
        <v>90</v>
      </c>
      <c r="I80" s="7">
        <v>60818</v>
      </c>
      <c r="J80" s="7">
        <v>26793</v>
      </c>
      <c r="K80" s="7">
        <v>7062</v>
      </c>
      <c r="L80" s="7">
        <v>7549</v>
      </c>
      <c r="M80" s="7">
        <v>3783</v>
      </c>
      <c r="N80" s="7">
        <v>98439</v>
      </c>
      <c r="O80" s="7">
        <v>20</v>
      </c>
      <c r="P80" s="7">
        <v>40</v>
      </c>
      <c r="Q80" s="7" t="s">
        <v>73</v>
      </c>
      <c r="R80" s="10" t="s">
        <v>49</v>
      </c>
      <c r="S80" s="94"/>
      <c r="T80" s="94"/>
      <c r="U80" s="94"/>
      <c r="V80" s="94"/>
      <c r="W80" s="94"/>
      <c r="X80" s="94"/>
      <c r="Y80" s="94"/>
      <c r="Z80" s="94"/>
      <c r="AA80" s="94"/>
    </row>
    <row r="81" spans="1:27" ht="18" customHeight="1">
      <c r="A81" s="4" t="s">
        <v>245</v>
      </c>
      <c r="B81" s="4" t="s">
        <v>246</v>
      </c>
      <c r="C81" s="4">
        <v>27</v>
      </c>
      <c r="D81" s="4" t="s">
        <v>44</v>
      </c>
      <c r="E81" s="14" t="s">
        <v>76</v>
      </c>
      <c r="F81" s="4" t="s">
        <v>99</v>
      </c>
      <c r="G81" s="12">
        <v>42721</v>
      </c>
      <c r="H81" s="4" t="s">
        <v>55</v>
      </c>
      <c r="I81" s="4">
        <v>53197</v>
      </c>
      <c r="J81" s="4">
        <v>19962</v>
      </c>
      <c r="K81" s="4">
        <v>9432</v>
      </c>
      <c r="L81" s="4">
        <v>2792</v>
      </c>
      <c r="M81" s="4">
        <v>2289</v>
      </c>
      <c r="N81" s="4">
        <v>83094</v>
      </c>
      <c r="O81" s="4">
        <v>20</v>
      </c>
      <c r="P81" s="4">
        <v>59</v>
      </c>
      <c r="Q81" s="4" t="s">
        <v>48</v>
      </c>
      <c r="R81" s="6" t="s">
        <v>41</v>
      </c>
      <c r="S81" s="94"/>
      <c r="T81" s="94"/>
      <c r="U81" s="94"/>
      <c r="V81" s="94"/>
      <c r="W81" s="94"/>
      <c r="X81" s="94"/>
      <c r="Y81" s="94"/>
      <c r="Z81" s="94"/>
      <c r="AA81" s="94"/>
    </row>
    <row r="82" spans="1:27" ht="18" customHeight="1">
      <c r="A82" s="7" t="s">
        <v>247</v>
      </c>
      <c r="B82" s="7" t="s">
        <v>248</v>
      </c>
      <c r="C82" s="7">
        <v>44</v>
      </c>
      <c r="D82" s="7" t="s">
        <v>52</v>
      </c>
      <c r="E82" s="8" t="s">
        <v>45</v>
      </c>
      <c r="F82" s="7" t="s">
        <v>46</v>
      </c>
      <c r="G82" s="9">
        <v>43699</v>
      </c>
      <c r="H82" s="7" t="s">
        <v>84</v>
      </c>
      <c r="I82" s="7">
        <v>80576</v>
      </c>
      <c r="J82" s="7">
        <v>31999</v>
      </c>
      <c r="K82" s="7">
        <v>9242</v>
      </c>
      <c r="L82" s="7">
        <v>3392</v>
      </c>
      <c r="M82" s="7">
        <v>3237</v>
      </c>
      <c r="N82" s="7">
        <v>121972</v>
      </c>
      <c r="O82" s="7">
        <v>18</v>
      </c>
      <c r="P82" s="7">
        <v>88</v>
      </c>
      <c r="Q82" s="7" t="s">
        <v>48</v>
      </c>
      <c r="R82" s="6" t="s">
        <v>41</v>
      </c>
      <c r="S82" s="94"/>
      <c r="T82" s="94"/>
      <c r="U82" s="94"/>
      <c r="V82" s="94"/>
      <c r="W82" s="94"/>
      <c r="X82" s="94"/>
      <c r="Y82" s="94"/>
      <c r="Z82" s="94"/>
      <c r="AA82" s="94"/>
    </row>
    <row r="83" spans="1:27" ht="18" customHeight="1">
      <c r="A83" s="4" t="s">
        <v>249</v>
      </c>
      <c r="B83" s="4" t="s">
        <v>250</v>
      </c>
      <c r="C83" s="4">
        <v>40</v>
      </c>
      <c r="D83" s="4" t="s">
        <v>35</v>
      </c>
      <c r="E83" s="5" t="s">
        <v>111</v>
      </c>
      <c r="F83" s="4" t="s">
        <v>217</v>
      </c>
      <c r="G83" s="4" t="s">
        <v>251</v>
      </c>
      <c r="H83" s="4" t="s">
        <v>65</v>
      </c>
      <c r="I83" s="4">
        <v>103554</v>
      </c>
      <c r="J83" s="4">
        <v>32201</v>
      </c>
      <c r="K83" s="4">
        <v>5349</v>
      </c>
      <c r="L83" s="4">
        <v>2469</v>
      </c>
      <c r="M83" s="4">
        <v>2730</v>
      </c>
      <c r="N83" s="4">
        <v>140843</v>
      </c>
      <c r="O83" s="4">
        <v>17</v>
      </c>
      <c r="P83" s="4">
        <v>88</v>
      </c>
      <c r="Q83" s="4" t="s">
        <v>66</v>
      </c>
      <c r="R83" s="6" t="s">
        <v>41</v>
      </c>
      <c r="S83" s="94"/>
      <c r="T83" s="94"/>
      <c r="U83" s="94"/>
      <c r="V83" s="94"/>
      <c r="W83" s="94"/>
      <c r="X83" s="94"/>
      <c r="Y83" s="94"/>
      <c r="Z83" s="94"/>
      <c r="AA83" s="94"/>
    </row>
    <row r="84" spans="1:27" ht="18" customHeight="1">
      <c r="A84" s="7" t="s">
        <v>252</v>
      </c>
      <c r="B84" s="7" t="s">
        <v>253</v>
      </c>
      <c r="C84" s="7">
        <v>49</v>
      </c>
      <c r="D84" s="7" t="s">
        <v>52</v>
      </c>
      <c r="E84" s="13" t="s">
        <v>63</v>
      </c>
      <c r="F84" s="7" t="s">
        <v>70</v>
      </c>
      <c r="G84" s="9">
        <v>44462</v>
      </c>
      <c r="H84" s="7" t="s">
        <v>55</v>
      </c>
      <c r="I84" s="7">
        <v>55161</v>
      </c>
      <c r="J84" s="7">
        <v>22067</v>
      </c>
      <c r="K84" s="7">
        <v>12945</v>
      </c>
      <c r="L84" s="7">
        <v>6604</v>
      </c>
      <c r="M84" s="7">
        <v>3901</v>
      </c>
      <c r="N84" s="7">
        <v>92876</v>
      </c>
      <c r="O84" s="7">
        <v>16</v>
      </c>
      <c r="P84" s="7">
        <v>65</v>
      </c>
      <c r="Q84" s="7" t="s">
        <v>48</v>
      </c>
      <c r="R84" s="6" t="s">
        <v>41</v>
      </c>
      <c r="S84" s="94"/>
      <c r="T84" s="94"/>
      <c r="U84" s="94"/>
      <c r="V84" s="94"/>
      <c r="W84" s="94"/>
      <c r="X84" s="94"/>
      <c r="Y84" s="94"/>
      <c r="Z84" s="94"/>
      <c r="AA84" s="94"/>
    </row>
    <row r="85" spans="1:27" ht="18" customHeight="1">
      <c r="A85" s="4" t="s">
        <v>254</v>
      </c>
      <c r="B85" s="4" t="s">
        <v>255</v>
      </c>
      <c r="C85" s="4">
        <v>27</v>
      </c>
      <c r="D85" s="4" t="s">
        <v>44</v>
      </c>
      <c r="E85" s="5" t="s">
        <v>111</v>
      </c>
      <c r="F85" s="4" t="s">
        <v>37</v>
      </c>
      <c r="G85" s="12">
        <v>44320</v>
      </c>
      <c r="H85" s="4" t="s">
        <v>84</v>
      </c>
      <c r="I85" s="4">
        <v>78088</v>
      </c>
      <c r="J85" s="4">
        <v>23752</v>
      </c>
      <c r="K85" s="4">
        <v>7321</v>
      </c>
      <c r="L85" s="4">
        <v>1407</v>
      </c>
      <c r="M85" s="4">
        <v>7564</v>
      </c>
      <c r="N85" s="4">
        <v>103004</v>
      </c>
      <c r="O85" s="4">
        <v>24</v>
      </c>
      <c r="P85" s="4">
        <v>69</v>
      </c>
      <c r="Q85" s="4" t="s">
        <v>48</v>
      </c>
      <c r="R85" s="6" t="s">
        <v>41</v>
      </c>
      <c r="S85" s="94"/>
      <c r="T85" s="94"/>
      <c r="U85" s="94"/>
      <c r="V85" s="94"/>
      <c r="W85" s="94"/>
      <c r="X85" s="94"/>
      <c r="Y85" s="94"/>
      <c r="Z85" s="94"/>
      <c r="AA85" s="94"/>
    </row>
    <row r="86" spans="1:27" ht="18" customHeight="1">
      <c r="A86" s="7" t="s">
        <v>256</v>
      </c>
      <c r="B86" s="7" t="s">
        <v>257</v>
      </c>
      <c r="C86" s="7">
        <v>55</v>
      </c>
      <c r="D86" s="7" t="s">
        <v>52</v>
      </c>
      <c r="E86" s="5" t="s">
        <v>111</v>
      </c>
      <c r="F86" s="7" t="s">
        <v>112</v>
      </c>
      <c r="G86" s="9">
        <v>44340</v>
      </c>
      <c r="H86" s="7" t="s">
        <v>90</v>
      </c>
      <c r="I86" s="7">
        <v>69500</v>
      </c>
      <c r="J86" s="7">
        <v>23930</v>
      </c>
      <c r="K86" s="7">
        <v>14765</v>
      </c>
      <c r="L86" s="7">
        <v>1377</v>
      </c>
      <c r="M86" s="7">
        <v>1625</v>
      </c>
      <c r="N86" s="7">
        <v>107947</v>
      </c>
      <c r="O86" s="7">
        <v>23</v>
      </c>
      <c r="P86" s="7">
        <v>80</v>
      </c>
      <c r="Q86" s="7" t="s">
        <v>60</v>
      </c>
      <c r="R86" s="6" t="s">
        <v>41</v>
      </c>
      <c r="S86" s="94"/>
      <c r="T86" s="94"/>
      <c r="U86" s="94"/>
      <c r="V86" s="94"/>
      <c r="W86" s="94"/>
      <c r="X86" s="94"/>
      <c r="Y86" s="94"/>
      <c r="Z86" s="94"/>
      <c r="AA86" s="94"/>
    </row>
    <row r="87" spans="1:27" ht="18" customHeight="1">
      <c r="A87" s="4" t="s">
        <v>258</v>
      </c>
      <c r="B87" s="4" t="s">
        <v>259</v>
      </c>
      <c r="C87" s="4">
        <v>53</v>
      </c>
      <c r="D87" s="4" t="s">
        <v>52</v>
      </c>
      <c r="E87" s="14" t="s">
        <v>76</v>
      </c>
      <c r="F87" s="4" t="s">
        <v>154</v>
      </c>
      <c r="G87" s="12">
        <v>43136</v>
      </c>
      <c r="H87" s="4" t="s">
        <v>84</v>
      </c>
      <c r="I87" s="4">
        <v>58550</v>
      </c>
      <c r="J87" s="4">
        <v>19875</v>
      </c>
      <c r="K87" s="4">
        <v>11869</v>
      </c>
      <c r="L87" s="4">
        <v>1252</v>
      </c>
      <c r="M87" s="4">
        <v>7227</v>
      </c>
      <c r="N87" s="4">
        <v>84319</v>
      </c>
      <c r="O87" s="4">
        <v>25</v>
      </c>
      <c r="P87" s="4">
        <v>44</v>
      </c>
      <c r="Q87" s="4" t="s">
        <v>66</v>
      </c>
      <c r="R87" s="13" t="s">
        <v>67</v>
      </c>
      <c r="S87" s="94"/>
      <c r="T87" s="94"/>
      <c r="U87" s="94"/>
      <c r="V87" s="94"/>
      <c r="W87" s="94"/>
      <c r="X87" s="94"/>
      <c r="Y87" s="94"/>
      <c r="Z87" s="94"/>
      <c r="AA87" s="94"/>
    </row>
    <row r="88" spans="1:27" ht="18" customHeight="1">
      <c r="A88" s="7" t="s">
        <v>260</v>
      </c>
      <c r="B88" s="7" t="s">
        <v>261</v>
      </c>
      <c r="C88" s="7">
        <v>44</v>
      </c>
      <c r="D88" s="7" t="s">
        <v>52</v>
      </c>
      <c r="E88" s="14" t="s">
        <v>76</v>
      </c>
      <c r="F88" s="7" t="s">
        <v>226</v>
      </c>
      <c r="G88" s="9">
        <v>43905</v>
      </c>
      <c r="H88" s="7" t="s">
        <v>90</v>
      </c>
      <c r="I88" s="7">
        <v>33950</v>
      </c>
      <c r="J88" s="7">
        <v>13369</v>
      </c>
      <c r="K88" s="7">
        <v>12344</v>
      </c>
      <c r="L88" s="7">
        <v>2480</v>
      </c>
      <c r="M88" s="7">
        <v>7523</v>
      </c>
      <c r="N88" s="7">
        <v>54620</v>
      </c>
      <c r="O88" s="7">
        <v>19</v>
      </c>
      <c r="P88" s="7">
        <v>77</v>
      </c>
      <c r="Q88" s="7" t="s">
        <v>66</v>
      </c>
      <c r="R88" s="6" t="s">
        <v>41</v>
      </c>
      <c r="S88" s="94"/>
      <c r="T88" s="94"/>
      <c r="U88" s="94"/>
      <c r="V88" s="94"/>
      <c r="W88" s="94"/>
      <c r="X88" s="94"/>
      <c r="Y88" s="94"/>
      <c r="Z88" s="94"/>
      <c r="AA88" s="94"/>
    </row>
    <row r="89" spans="1:27" ht="18" customHeight="1">
      <c r="A89" s="4" t="s">
        <v>262</v>
      </c>
      <c r="B89" s="4" t="s">
        <v>263</v>
      </c>
      <c r="C89" s="4">
        <v>24</v>
      </c>
      <c r="D89" s="4" t="s">
        <v>44</v>
      </c>
      <c r="E89" s="8" t="s">
        <v>45</v>
      </c>
      <c r="F89" s="4" t="s">
        <v>46</v>
      </c>
      <c r="G89" s="12">
        <v>43954</v>
      </c>
      <c r="H89" s="4" t="s">
        <v>84</v>
      </c>
      <c r="I89" s="4">
        <v>109497</v>
      </c>
      <c r="J89" s="4">
        <v>51776</v>
      </c>
      <c r="K89" s="4">
        <v>3479</v>
      </c>
      <c r="L89" s="4">
        <v>5038</v>
      </c>
      <c r="M89" s="4">
        <v>5866</v>
      </c>
      <c r="N89" s="4">
        <v>163924</v>
      </c>
      <c r="O89" s="4">
        <v>23</v>
      </c>
      <c r="P89" s="4">
        <v>64</v>
      </c>
      <c r="Q89" s="4" t="s">
        <v>60</v>
      </c>
      <c r="R89" s="13" t="s">
        <v>67</v>
      </c>
      <c r="S89" s="94"/>
      <c r="T89" s="94"/>
      <c r="U89" s="94"/>
      <c r="V89" s="94"/>
      <c r="W89" s="94"/>
      <c r="X89" s="94"/>
      <c r="Y89" s="94"/>
      <c r="Z89" s="94"/>
      <c r="AA89" s="94"/>
    </row>
    <row r="90" spans="1:27" ht="18" customHeight="1">
      <c r="A90" s="7" t="s">
        <v>264</v>
      </c>
      <c r="B90" s="7" t="s">
        <v>265</v>
      </c>
      <c r="C90" s="7">
        <v>24</v>
      </c>
      <c r="D90" s="7" t="s">
        <v>52</v>
      </c>
      <c r="E90" s="10" t="s">
        <v>58</v>
      </c>
      <c r="F90" s="7" t="s">
        <v>105</v>
      </c>
      <c r="G90" s="9">
        <v>44987</v>
      </c>
      <c r="H90" s="7" t="s">
        <v>196</v>
      </c>
      <c r="I90" s="7">
        <v>84050</v>
      </c>
      <c r="J90" s="7">
        <v>26955</v>
      </c>
      <c r="K90" s="7">
        <v>7626</v>
      </c>
      <c r="L90" s="7">
        <v>5851</v>
      </c>
      <c r="M90" s="7">
        <v>1690</v>
      </c>
      <c r="N90" s="7">
        <v>122792</v>
      </c>
      <c r="O90" s="7">
        <v>23</v>
      </c>
      <c r="P90" s="7">
        <v>81</v>
      </c>
      <c r="Q90" s="7" t="s">
        <v>48</v>
      </c>
      <c r="R90" s="10" t="s">
        <v>49</v>
      </c>
      <c r="S90" s="94"/>
      <c r="T90" s="94"/>
      <c r="U90" s="94"/>
      <c r="V90" s="94"/>
      <c r="W90" s="94"/>
      <c r="X90" s="94"/>
      <c r="Y90" s="94"/>
      <c r="Z90" s="94"/>
      <c r="AA90" s="94"/>
    </row>
    <row r="91" spans="1:27" ht="18" customHeight="1">
      <c r="A91" s="4" t="s">
        <v>266</v>
      </c>
      <c r="B91" s="4" t="s">
        <v>267</v>
      </c>
      <c r="C91" s="4">
        <v>26</v>
      </c>
      <c r="D91" s="4" t="s">
        <v>44</v>
      </c>
      <c r="E91" s="10" t="s">
        <v>58</v>
      </c>
      <c r="F91" s="4" t="s">
        <v>59</v>
      </c>
      <c r="G91" s="12">
        <v>43992</v>
      </c>
      <c r="H91" s="4" t="s">
        <v>65</v>
      </c>
      <c r="I91" s="4">
        <v>75779</v>
      </c>
      <c r="J91" s="4">
        <v>28929</v>
      </c>
      <c r="K91" s="4">
        <v>7543</v>
      </c>
      <c r="L91" s="4">
        <v>5561</v>
      </c>
      <c r="M91" s="4">
        <v>5897</v>
      </c>
      <c r="N91" s="4">
        <v>111915</v>
      </c>
      <c r="O91" s="4">
        <v>15</v>
      </c>
      <c r="P91" s="4">
        <v>90</v>
      </c>
      <c r="Q91" s="4" t="s">
        <v>66</v>
      </c>
      <c r="R91" s="6" t="s">
        <v>41</v>
      </c>
      <c r="S91" s="94"/>
      <c r="T91" s="94"/>
      <c r="U91" s="94"/>
      <c r="V91" s="94"/>
      <c r="W91" s="94"/>
      <c r="X91" s="94"/>
      <c r="Y91" s="94"/>
      <c r="Z91" s="94"/>
      <c r="AA91" s="94"/>
    </row>
    <row r="92" spans="1:27" ht="18" customHeight="1">
      <c r="A92" s="7" t="s">
        <v>268</v>
      </c>
      <c r="B92" s="7" t="s">
        <v>269</v>
      </c>
      <c r="C92" s="7">
        <v>30</v>
      </c>
      <c r="D92" s="7" t="s">
        <v>44</v>
      </c>
      <c r="E92" s="11" t="s">
        <v>53</v>
      </c>
      <c r="F92" s="7" t="s">
        <v>54</v>
      </c>
      <c r="G92" s="9">
        <v>42889</v>
      </c>
      <c r="H92" s="7" t="s">
        <v>90</v>
      </c>
      <c r="I92" s="7">
        <v>101380</v>
      </c>
      <c r="J92" s="7">
        <v>43869</v>
      </c>
      <c r="K92" s="7">
        <v>7731</v>
      </c>
      <c r="L92" s="7">
        <v>2541</v>
      </c>
      <c r="M92" s="7">
        <v>6374</v>
      </c>
      <c r="N92" s="7">
        <v>149147</v>
      </c>
      <c r="O92" s="7">
        <v>26</v>
      </c>
      <c r="P92" s="7">
        <v>82</v>
      </c>
      <c r="Q92" s="7" t="s">
        <v>48</v>
      </c>
      <c r="R92" s="10" t="s">
        <v>49</v>
      </c>
      <c r="S92" s="94"/>
      <c r="T92" s="94"/>
      <c r="U92" s="94"/>
      <c r="V92" s="94"/>
      <c r="W92" s="94"/>
      <c r="X92" s="94"/>
      <c r="Y92" s="94"/>
      <c r="Z92" s="94"/>
      <c r="AA92" s="94"/>
    </row>
    <row r="93" spans="1:27" ht="18" customHeight="1">
      <c r="A93" s="4" t="s">
        <v>270</v>
      </c>
      <c r="B93" s="4" t="s">
        <v>271</v>
      </c>
      <c r="C93" s="4">
        <v>23</v>
      </c>
      <c r="D93" s="4" t="s">
        <v>44</v>
      </c>
      <c r="E93" s="5" t="s">
        <v>36</v>
      </c>
      <c r="F93" s="4" t="s">
        <v>217</v>
      </c>
      <c r="G93" s="12">
        <v>43062</v>
      </c>
      <c r="H93" s="4" t="s">
        <v>65</v>
      </c>
      <c r="I93" s="4">
        <v>114838</v>
      </c>
      <c r="J93" s="4">
        <v>55408</v>
      </c>
      <c r="K93" s="4">
        <v>3531</v>
      </c>
      <c r="L93" s="4">
        <v>5292</v>
      </c>
      <c r="M93" s="4">
        <v>6492</v>
      </c>
      <c r="N93" s="4">
        <v>172577</v>
      </c>
      <c r="O93" s="4">
        <v>21</v>
      </c>
      <c r="P93" s="4">
        <v>72</v>
      </c>
      <c r="Q93" s="4" t="s">
        <v>60</v>
      </c>
      <c r="R93" s="6" t="s">
        <v>41</v>
      </c>
      <c r="S93" s="94"/>
      <c r="T93" s="94"/>
      <c r="U93" s="94"/>
      <c r="V93" s="94"/>
      <c r="W93" s="94"/>
      <c r="X93" s="94"/>
      <c r="Y93" s="94"/>
      <c r="Z93" s="94"/>
      <c r="AA93" s="94"/>
    </row>
    <row r="94" spans="1:27" ht="18" customHeight="1">
      <c r="A94" s="7" t="s">
        <v>272</v>
      </c>
      <c r="B94" s="7" t="s">
        <v>273</v>
      </c>
      <c r="C94" s="7">
        <v>43</v>
      </c>
      <c r="D94" s="7" t="s">
        <v>52</v>
      </c>
      <c r="E94" s="5" t="s">
        <v>111</v>
      </c>
      <c r="F94" s="7" t="s">
        <v>128</v>
      </c>
      <c r="G94" s="9">
        <v>43164</v>
      </c>
      <c r="H94" s="7" t="s">
        <v>78</v>
      </c>
      <c r="I94" s="7">
        <v>35114</v>
      </c>
      <c r="J94" s="7">
        <v>12611</v>
      </c>
      <c r="K94" s="7">
        <v>14912</v>
      </c>
      <c r="L94" s="7">
        <v>828</v>
      </c>
      <c r="M94" s="7">
        <v>5158</v>
      </c>
      <c r="N94" s="7">
        <v>58307</v>
      </c>
      <c r="O94" s="7">
        <v>23</v>
      </c>
      <c r="P94" s="7">
        <v>93</v>
      </c>
      <c r="Q94" s="7" t="s">
        <v>66</v>
      </c>
      <c r="R94" s="13" t="s">
        <v>67</v>
      </c>
      <c r="S94" s="94"/>
      <c r="T94" s="94"/>
      <c r="U94" s="94"/>
      <c r="V94" s="94"/>
      <c r="W94" s="94"/>
      <c r="X94" s="94"/>
      <c r="Y94" s="94"/>
      <c r="Z94" s="94"/>
      <c r="AA94" s="94"/>
    </row>
    <row r="95" spans="1:27" ht="18" customHeight="1">
      <c r="A95" s="4" t="s">
        <v>274</v>
      </c>
      <c r="B95" s="4" t="s">
        <v>275</v>
      </c>
      <c r="C95" s="4">
        <v>37</v>
      </c>
      <c r="D95" s="4" t="s">
        <v>44</v>
      </c>
      <c r="E95" s="13" t="s">
        <v>63</v>
      </c>
      <c r="F95" s="4" t="s">
        <v>70</v>
      </c>
      <c r="G95" s="12">
        <v>43094</v>
      </c>
      <c r="H95" s="4" t="s">
        <v>84</v>
      </c>
      <c r="I95" s="4">
        <v>106885</v>
      </c>
      <c r="J95" s="4">
        <v>49360</v>
      </c>
      <c r="K95" s="4">
        <v>4712</v>
      </c>
      <c r="L95" s="4">
        <v>5907</v>
      </c>
      <c r="M95" s="4">
        <v>4585</v>
      </c>
      <c r="N95" s="4">
        <v>162279</v>
      </c>
      <c r="O95" s="4">
        <v>15</v>
      </c>
      <c r="P95" s="4">
        <v>66</v>
      </c>
      <c r="Q95" s="4" t="s">
        <v>66</v>
      </c>
      <c r="R95" s="13" t="s">
        <v>67</v>
      </c>
      <c r="S95" s="94"/>
      <c r="T95" s="94"/>
      <c r="U95" s="94"/>
      <c r="V95" s="94"/>
      <c r="W95" s="94"/>
      <c r="X95" s="94"/>
      <c r="Y95" s="94"/>
      <c r="Z95" s="94"/>
      <c r="AA95" s="94"/>
    </row>
    <row r="96" spans="1:27" ht="18" customHeight="1">
      <c r="A96" s="7" t="s">
        <v>276</v>
      </c>
      <c r="B96" s="7" t="s">
        <v>277</v>
      </c>
      <c r="C96" s="7">
        <v>54</v>
      </c>
      <c r="D96" s="7" t="s">
        <v>44</v>
      </c>
      <c r="E96" s="13" t="s">
        <v>63</v>
      </c>
      <c r="F96" s="7" t="s">
        <v>70</v>
      </c>
      <c r="G96" s="9">
        <v>43704</v>
      </c>
      <c r="H96" s="7" t="s">
        <v>90</v>
      </c>
      <c r="I96" s="7">
        <v>50430</v>
      </c>
      <c r="J96" s="7">
        <v>18839</v>
      </c>
      <c r="K96" s="7">
        <v>11345</v>
      </c>
      <c r="L96" s="7">
        <v>3609</v>
      </c>
      <c r="M96" s="7">
        <v>4782</v>
      </c>
      <c r="N96" s="7">
        <v>79441</v>
      </c>
      <c r="O96" s="7">
        <v>19</v>
      </c>
      <c r="P96" s="7">
        <v>89</v>
      </c>
      <c r="Q96" s="7" t="s">
        <v>73</v>
      </c>
      <c r="R96" s="6" t="s">
        <v>41</v>
      </c>
      <c r="S96" s="94"/>
      <c r="T96" s="94"/>
      <c r="U96" s="94"/>
      <c r="V96" s="94"/>
      <c r="W96" s="94"/>
      <c r="X96" s="94"/>
      <c r="Y96" s="94"/>
      <c r="Z96" s="94"/>
      <c r="AA96" s="94"/>
    </row>
    <row r="97" spans="1:27" ht="18" customHeight="1">
      <c r="A97" s="4" t="s">
        <v>278</v>
      </c>
      <c r="B97" s="4" t="s">
        <v>279</v>
      </c>
      <c r="C97" s="4">
        <v>40</v>
      </c>
      <c r="D97" s="4" t="s">
        <v>52</v>
      </c>
      <c r="E97" s="10" t="s">
        <v>58</v>
      </c>
      <c r="F97" s="4" t="s">
        <v>59</v>
      </c>
      <c r="G97" s="12">
        <v>43486</v>
      </c>
      <c r="H97" s="4" t="s">
        <v>55</v>
      </c>
      <c r="I97" s="4">
        <v>87991</v>
      </c>
      <c r="J97" s="4">
        <v>41780</v>
      </c>
      <c r="K97" s="4">
        <v>11085</v>
      </c>
      <c r="L97" s="4">
        <v>7653</v>
      </c>
      <c r="M97" s="4">
        <v>1840</v>
      </c>
      <c r="N97" s="4">
        <v>146669</v>
      </c>
      <c r="O97" s="4">
        <v>26</v>
      </c>
      <c r="P97" s="4">
        <v>94</v>
      </c>
      <c r="Q97" s="4" t="s">
        <v>48</v>
      </c>
      <c r="R97" s="6" t="s">
        <v>41</v>
      </c>
      <c r="S97" s="94"/>
      <c r="T97" s="94"/>
      <c r="U97" s="94"/>
      <c r="V97" s="94"/>
      <c r="W97" s="94"/>
      <c r="X97" s="94"/>
      <c r="Y97" s="94"/>
      <c r="Z97" s="94"/>
      <c r="AA97" s="94"/>
    </row>
    <row r="98" spans="1:27" ht="18" customHeight="1">
      <c r="A98" s="7" t="s">
        <v>280</v>
      </c>
      <c r="B98" s="7" t="s">
        <v>281</v>
      </c>
      <c r="C98" s="7">
        <v>37</v>
      </c>
      <c r="D98" s="7" t="s">
        <v>44</v>
      </c>
      <c r="E98" s="13" t="s">
        <v>63</v>
      </c>
      <c r="F98" s="7" t="s">
        <v>115</v>
      </c>
      <c r="G98" s="9">
        <v>42487</v>
      </c>
      <c r="H98" s="7" t="s">
        <v>84</v>
      </c>
      <c r="I98" s="7">
        <v>84130</v>
      </c>
      <c r="J98" s="7">
        <v>40124</v>
      </c>
      <c r="K98" s="7">
        <v>2436</v>
      </c>
      <c r="L98" s="7">
        <v>3398</v>
      </c>
      <c r="M98" s="7">
        <v>1436</v>
      </c>
      <c r="N98" s="7">
        <v>128652</v>
      </c>
      <c r="O98" s="7">
        <v>21</v>
      </c>
      <c r="P98" s="7">
        <v>72</v>
      </c>
      <c r="Q98" s="7" t="s">
        <v>40</v>
      </c>
      <c r="R98" s="6" t="s">
        <v>41</v>
      </c>
      <c r="S98" s="94"/>
      <c r="T98" s="94"/>
      <c r="U98" s="94"/>
      <c r="V98" s="94"/>
      <c r="W98" s="94"/>
      <c r="X98" s="94"/>
      <c r="Y98" s="94"/>
      <c r="Z98" s="94"/>
      <c r="AA98" s="94"/>
    </row>
    <row r="99" spans="1:27" ht="18" customHeight="1">
      <c r="A99" s="4" t="s">
        <v>282</v>
      </c>
      <c r="B99" s="4" t="s">
        <v>283</v>
      </c>
      <c r="C99" s="4">
        <v>50</v>
      </c>
      <c r="D99" s="4" t="s">
        <v>44</v>
      </c>
      <c r="E99" s="11" t="s">
        <v>53</v>
      </c>
      <c r="F99" s="4" t="s">
        <v>118</v>
      </c>
      <c r="G99" s="12">
        <v>43895</v>
      </c>
      <c r="H99" s="4" t="s">
        <v>90</v>
      </c>
      <c r="I99" s="4">
        <v>30020</v>
      </c>
      <c r="J99" s="4">
        <v>10728</v>
      </c>
      <c r="K99" s="4">
        <v>9740</v>
      </c>
      <c r="L99" s="4">
        <v>5702</v>
      </c>
      <c r="M99" s="4">
        <v>7808</v>
      </c>
      <c r="N99" s="4">
        <v>48382</v>
      </c>
      <c r="O99" s="4">
        <v>17</v>
      </c>
      <c r="P99" s="4">
        <v>88</v>
      </c>
      <c r="Q99" s="4" t="s">
        <v>60</v>
      </c>
      <c r="R99" s="6" t="s">
        <v>41</v>
      </c>
      <c r="S99" s="94"/>
      <c r="T99" s="94"/>
      <c r="U99" s="94"/>
      <c r="V99" s="94"/>
      <c r="W99" s="94"/>
      <c r="X99" s="94"/>
      <c r="Y99" s="94"/>
      <c r="Z99" s="94"/>
      <c r="AA99" s="94"/>
    </row>
    <row r="100" spans="1:27" ht="18" customHeight="1">
      <c r="A100" s="7" t="s">
        <v>284</v>
      </c>
      <c r="B100" s="7" t="s">
        <v>285</v>
      </c>
      <c r="C100" s="7">
        <v>37</v>
      </c>
      <c r="D100" s="7" t="s">
        <v>52</v>
      </c>
      <c r="E100" s="13" t="s">
        <v>63</v>
      </c>
      <c r="F100" s="7" t="s">
        <v>70</v>
      </c>
      <c r="G100" s="9">
        <v>45280</v>
      </c>
      <c r="H100" s="7" t="s">
        <v>84</v>
      </c>
      <c r="I100" s="7">
        <v>94176</v>
      </c>
      <c r="J100" s="7">
        <v>36225</v>
      </c>
      <c r="K100" s="7">
        <v>14716</v>
      </c>
      <c r="L100" s="7">
        <v>2360</v>
      </c>
      <c r="M100" s="7">
        <v>2946</v>
      </c>
      <c r="N100" s="7">
        <v>144531</v>
      </c>
      <c r="O100" s="7">
        <v>19</v>
      </c>
      <c r="P100" s="7">
        <v>47</v>
      </c>
      <c r="Q100" s="7" t="s">
        <v>66</v>
      </c>
      <c r="R100" s="10" t="s">
        <v>49</v>
      </c>
      <c r="S100" s="94"/>
      <c r="T100" s="94"/>
      <c r="U100" s="94"/>
      <c r="V100" s="94"/>
      <c r="W100" s="94"/>
      <c r="X100" s="94"/>
      <c r="Y100" s="94"/>
      <c r="Z100" s="94"/>
      <c r="AA100" s="94"/>
    </row>
    <row r="101" spans="1:27" ht="18" customHeight="1">
      <c r="A101" s="4" t="s">
        <v>286</v>
      </c>
      <c r="B101" s="4" t="s">
        <v>287</v>
      </c>
      <c r="C101" s="4">
        <v>22</v>
      </c>
      <c r="D101" s="4" t="s">
        <v>44</v>
      </c>
      <c r="E101" s="8" t="s">
        <v>45</v>
      </c>
      <c r="F101" s="4" t="s">
        <v>46</v>
      </c>
      <c r="G101" s="12">
        <v>44852</v>
      </c>
      <c r="H101" s="4" t="s">
        <v>90</v>
      </c>
      <c r="I101" s="4">
        <v>27154</v>
      </c>
      <c r="J101" s="4">
        <v>11578</v>
      </c>
      <c r="K101" s="4">
        <v>11421</v>
      </c>
      <c r="L101" s="4">
        <v>1981</v>
      </c>
      <c r="M101" s="4">
        <v>6886</v>
      </c>
      <c r="N101" s="4">
        <v>45248</v>
      </c>
      <c r="O101" s="4">
        <v>17</v>
      </c>
      <c r="P101" s="4">
        <v>58</v>
      </c>
      <c r="Q101" s="4" t="s">
        <v>66</v>
      </c>
      <c r="R101" s="6" t="s">
        <v>41</v>
      </c>
      <c r="S101" s="94"/>
      <c r="T101" s="94"/>
      <c r="U101" s="94"/>
      <c r="V101" s="94"/>
      <c r="W101" s="94"/>
      <c r="X101" s="94"/>
      <c r="Y101" s="94"/>
      <c r="Z101" s="94"/>
      <c r="AA101" s="94"/>
    </row>
    <row r="102" spans="1:27" ht="18" customHeight="1">
      <c r="A102" s="7" t="s">
        <v>288</v>
      </c>
      <c r="B102" s="7" t="s">
        <v>289</v>
      </c>
      <c r="C102" s="7">
        <v>24</v>
      </c>
      <c r="D102" s="7" t="s">
        <v>44</v>
      </c>
      <c r="E102" s="13" t="s">
        <v>63</v>
      </c>
      <c r="F102" s="7" t="s">
        <v>64</v>
      </c>
      <c r="G102" s="9">
        <v>45080</v>
      </c>
      <c r="H102" s="7" t="s">
        <v>47</v>
      </c>
      <c r="I102" s="7">
        <v>93951</v>
      </c>
      <c r="J102" s="7">
        <v>38409</v>
      </c>
      <c r="K102" s="7">
        <v>14884</v>
      </c>
      <c r="L102" s="7">
        <v>4158</v>
      </c>
      <c r="M102" s="7">
        <v>5539</v>
      </c>
      <c r="N102" s="7">
        <v>145863</v>
      </c>
      <c r="O102" s="7">
        <v>15</v>
      </c>
      <c r="P102" s="7">
        <v>64</v>
      </c>
      <c r="Q102" s="7" t="s">
        <v>40</v>
      </c>
      <c r="R102" s="6" t="s">
        <v>41</v>
      </c>
      <c r="S102" s="94"/>
      <c r="T102" s="94"/>
      <c r="U102" s="94"/>
      <c r="V102" s="94"/>
      <c r="W102" s="94"/>
      <c r="X102" s="94"/>
      <c r="Y102" s="94"/>
      <c r="Z102" s="94"/>
      <c r="AA102" s="94"/>
    </row>
    <row r="103" spans="1:27" ht="18" customHeight="1">
      <c r="A103" s="4" t="s">
        <v>290</v>
      </c>
      <c r="B103" s="4" t="s">
        <v>291</v>
      </c>
      <c r="C103" s="4">
        <v>44</v>
      </c>
      <c r="D103" s="4" t="s">
        <v>52</v>
      </c>
      <c r="E103" s="11" t="s">
        <v>53</v>
      </c>
      <c r="F103" s="4" t="s">
        <v>118</v>
      </c>
      <c r="G103" s="4" t="s">
        <v>292</v>
      </c>
      <c r="H103" s="4" t="s">
        <v>293</v>
      </c>
      <c r="I103" s="4"/>
      <c r="J103" s="4">
        <v>47301</v>
      </c>
      <c r="K103" s="4">
        <v>14640</v>
      </c>
      <c r="L103" s="4">
        <v>4766</v>
      </c>
      <c r="M103" s="4">
        <v>7022</v>
      </c>
      <c r="N103" s="4"/>
      <c r="O103" s="4">
        <v>20</v>
      </c>
      <c r="P103" s="4">
        <v>48</v>
      </c>
      <c r="Q103" s="4" t="s">
        <v>73</v>
      </c>
      <c r="R103" s="6" t="s">
        <v>41</v>
      </c>
      <c r="S103" s="94"/>
      <c r="T103" s="94"/>
      <c r="U103" s="94"/>
      <c r="V103" s="94"/>
      <c r="W103" s="94"/>
      <c r="X103" s="94"/>
      <c r="Y103" s="94"/>
      <c r="Z103" s="94"/>
      <c r="AA103" s="94"/>
    </row>
    <row r="104" spans="1:27" ht="18" customHeight="1">
      <c r="A104" s="7" t="s">
        <v>294</v>
      </c>
      <c r="B104" s="7" t="s">
        <v>295</v>
      </c>
      <c r="C104" s="7">
        <v>24</v>
      </c>
      <c r="D104" s="7" t="s">
        <v>52</v>
      </c>
      <c r="E104" s="14" t="s">
        <v>76</v>
      </c>
      <c r="F104" s="7" t="s">
        <v>77</v>
      </c>
      <c r="G104" s="9">
        <v>44871</v>
      </c>
      <c r="H104" s="7" t="s">
        <v>78</v>
      </c>
      <c r="I104" s="7">
        <v>42675</v>
      </c>
      <c r="J104" s="7">
        <v>13341</v>
      </c>
      <c r="K104" s="7">
        <v>14717</v>
      </c>
      <c r="L104" s="7">
        <v>7730</v>
      </c>
      <c r="M104" s="7">
        <v>4749</v>
      </c>
      <c r="N104" s="7">
        <v>73714</v>
      </c>
      <c r="O104" s="7">
        <v>15</v>
      </c>
      <c r="P104" s="7">
        <v>58</v>
      </c>
      <c r="Q104" s="7" t="s">
        <v>60</v>
      </c>
      <c r="R104" s="6" t="s">
        <v>41</v>
      </c>
      <c r="S104" s="94"/>
      <c r="T104" s="94"/>
      <c r="U104" s="94"/>
      <c r="V104" s="94"/>
      <c r="W104" s="94"/>
      <c r="X104" s="94"/>
      <c r="Y104" s="94"/>
      <c r="Z104" s="94"/>
      <c r="AA104" s="94"/>
    </row>
    <row r="105" spans="1:27" ht="18" customHeight="1">
      <c r="A105" s="4" t="s">
        <v>296</v>
      </c>
      <c r="B105" s="4" t="s">
        <v>297</v>
      </c>
      <c r="C105" s="4">
        <v>39</v>
      </c>
      <c r="D105" s="4" t="s">
        <v>44</v>
      </c>
      <c r="E105" s="10" t="s">
        <v>58</v>
      </c>
      <c r="F105" s="4" t="s">
        <v>105</v>
      </c>
      <c r="G105" s="12">
        <v>45147</v>
      </c>
      <c r="H105" s="4" t="s">
        <v>55</v>
      </c>
      <c r="I105" s="4">
        <v>29799</v>
      </c>
      <c r="J105" s="4">
        <v>13429</v>
      </c>
      <c r="K105" s="4">
        <v>5131</v>
      </c>
      <c r="L105" s="4">
        <v>2343</v>
      </c>
      <c r="M105" s="4">
        <v>3924</v>
      </c>
      <c r="N105" s="4">
        <v>46778</v>
      </c>
      <c r="O105" s="4">
        <v>15</v>
      </c>
      <c r="P105" s="4">
        <v>95</v>
      </c>
      <c r="Q105" s="4" t="s">
        <v>66</v>
      </c>
      <c r="R105" s="6" t="s">
        <v>41</v>
      </c>
      <c r="S105" s="94"/>
      <c r="T105" s="94"/>
      <c r="U105" s="94"/>
      <c r="V105" s="94"/>
      <c r="W105" s="94"/>
      <c r="X105" s="94"/>
      <c r="Y105" s="94"/>
      <c r="Z105" s="94"/>
      <c r="AA105" s="94"/>
    </row>
    <row r="106" spans="1:27" ht="18" customHeight="1">
      <c r="A106" s="7" t="s">
        <v>298</v>
      </c>
      <c r="B106" s="7" t="s">
        <v>299</v>
      </c>
      <c r="C106" s="7">
        <v>27</v>
      </c>
      <c r="D106" s="7" t="s">
        <v>44</v>
      </c>
      <c r="E106" s="5" t="s">
        <v>111</v>
      </c>
      <c r="F106" s="7" t="s">
        <v>217</v>
      </c>
      <c r="G106" s="9">
        <v>42970</v>
      </c>
      <c r="H106" s="7" t="s">
        <v>84</v>
      </c>
      <c r="I106" s="7">
        <v>90211</v>
      </c>
      <c r="J106" s="7">
        <v>33691</v>
      </c>
      <c r="K106" s="7">
        <v>10507</v>
      </c>
      <c r="L106" s="7">
        <v>2184</v>
      </c>
      <c r="M106" s="7">
        <v>7563</v>
      </c>
      <c r="N106" s="7">
        <v>129030</v>
      </c>
      <c r="O106" s="7">
        <v>16</v>
      </c>
      <c r="P106" s="7">
        <v>86</v>
      </c>
      <c r="Q106" s="7" t="s">
        <v>48</v>
      </c>
      <c r="R106" s="13" t="s">
        <v>67</v>
      </c>
      <c r="S106" s="94"/>
      <c r="T106" s="94"/>
      <c r="U106" s="94"/>
      <c r="V106" s="94"/>
      <c r="W106" s="94"/>
      <c r="X106" s="94"/>
      <c r="Y106" s="94"/>
      <c r="Z106" s="94"/>
      <c r="AA106" s="94"/>
    </row>
    <row r="107" spans="1:27" ht="18" customHeight="1">
      <c r="A107" s="4" t="s">
        <v>300</v>
      </c>
      <c r="B107" s="4" t="s">
        <v>301</v>
      </c>
      <c r="C107" s="4">
        <v>44</v>
      </c>
      <c r="D107" s="4" t="s">
        <v>44</v>
      </c>
      <c r="E107" s="11" t="s">
        <v>53</v>
      </c>
      <c r="F107" s="4" t="s">
        <v>54</v>
      </c>
      <c r="G107" s="12">
        <v>42411</v>
      </c>
      <c r="H107" s="4" t="s">
        <v>84</v>
      </c>
      <c r="I107" s="4">
        <v>111628</v>
      </c>
      <c r="J107" s="4">
        <v>40089</v>
      </c>
      <c r="K107" s="4">
        <v>9305</v>
      </c>
      <c r="L107" s="4">
        <v>4936</v>
      </c>
      <c r="M107" s="4">
        <v>6879</v>
      </c>
      <c r="N107" s="4">
        <v>159079</v>
      </c>
      <c r="O107" s="4">
        <v>21</v>
      </c>
      <c r="P107" s="4">
        <v>50</v>
      </c>
      <c r="Q107" s="4" t="s">
        <v>48</v>
      </c>
      <c r="R107" s="6" t="s">
        <v>41</v>
      </c>
      <c r="S107" s="94"/>
      <c r="T107" s="94"/>
      <c r="U107" s="94"/>
      <c r="V107" s="94"/>
      <c r="W107" s="94"/>
      <c r="X107" s="94"/>
      <c r="Y107" s="94"/>
      <c r="Z107" s="94"/>
      <c r="AA107" s="94"/>
    </row>
    <row r="108" spans="1:27" ht="18" customHeight="1">
      <c r="A108" s="7" t="s">
        <v>302</v>
      </c>
      <c r="B108" s="7" t="s">
        <v>303</v>
      </c>
      <c r="C108" s="7">
        <v>31</v>
      </c>
      <c r="D108" s="7" t="s">
        <v>52</v>
      </c>
      <c r="E108" s="5" t="s">
        <v>111</v>
      </c>
      <c r="F108" s="7" t="s">
        <v>217</v>
      </c>
      <c r="G108" s="9">
        <v>42057</v>
      </c>
      <c r="H108" s="7" t="s">
        <v>78</v>
      </c>
      <c r="I108" s="7">
        <v>108560</v>
      </c>
      <c r="J108" s="7">
        <v>41388</v>
      </c>
      <c r="K108" s="7">
        <v>10406</v>
      </c>
      <c r="L108" s="7">
        <v>6562</v>
      </c>
      <c r="M108" s="7">
        <v>7143</v>
      </c>
      <c r="N108" s="7">
        <v>159773</v>
      </c>
      <c r="O108" s="7">
        <v>-25</v>
      </c>
      <c r="P108" s="7">
        <v>50</v>
      </c>
      <c r="Q108" s="7" t="s">
        <v>66</v>
      </c>
      <c r="R108" s="13" t="s">
        <v>67</v>
      </c>
      <c r="S108" s="94"/>
      <c r="T108" s="94"/>
      <c r="U108" s="94"/>
      <c r="V108" s="94"/>
      <c r="W108" s="94"/>
      <c r="X108" s="94"/>
      <c r="Y108" s="94"/>
      <c r="Z108" s="94"/>
      <c r="AA108" s="94"/>
    </row>
    <row r="109" spans="1:27" ht="18" customHeight="1">
      <c r="A109" s="4" t="s">
        <v>304</v>
      </c>
      <c r="B109" s="4" t="s">
        <v>305</v>
      </c>
      <c r="C109" s="4">
        <v>50</v>
      </c>
      <c r="D109" s="4" t="s">
        <v>52</v>
      </c>
      <c r="E109" s="8" t="s">
        <v>45</v>
      </c>
      <c r="F109" s="4" t="s">
        <v>306</v>
      </c>
      <c r="G109" s="12">
        <v>42485</v>
      </c>
      <c r="H109" s="4" t="s">
        <v>65</v>
      </c>
      <c r="I109" s="4">
        <v>109562</v>
      </c>
      <c r="J109" s="4">
        <v>40896</v>
      </c>
      <c r="K109" s="4">
        <v>8272</v>
      </c>
      <c r="L109" s="4">
        <v>7778</v>
      </c>
      <c r="M109" s="4">
        <v>5646</v>
      </c>
      <c r="N109" s="4">
        <v>160862</v>
      </c>
      <c r="O109" s="4">
        <v>15</v>
      </c>
      <c r="P109" s="4">
        <v>78</v>
      </c>
      <c r="Q109" s="4" t="s">
        <v>40</v>
      </c>
      <c r="R109" s="6" t="s">
        <v>41</v>
      </c>
      <c r="S109" s="94"/>
      <c r="T109" s="94"/>
      <c r="U109" s="94"/>
      <c r="V109" s="94"/>
      <c r="W109" s="94"/>
      <c r="X109" s="94"/>
      <c r="Y109" s="94"/>
      <c r="Z109" s="94"/>
      <c r="AA109" s="94"/>
    </row>
    <row r="110" spans="1:27" ht="18" customHeight="1">
      <c r="A110" s="7" t="s">
        <v>307</v>
      </c>
      <c r="B110" s="7" t="s">
        <v>308</v>
      </c>
      <c r="C110" s="7">
        <v>53</v>
      </c>
      <c r="D110" s="7" t="s">
        <v>52</v>
      </c>
      <c r="E110" s="10" t="s">
        <v>58</v>
      </c>
      <c r="F110" s="7" t="s">
        <v>59</v>
      </c>
      <c r="G110" s="9">
        <v>45090</v>
      </c>
      <c r="H110" s="7" t="s">
        <v>90</v>
      </c>
      <c r="I110" s="7">
        <v>66207</v>
      </c>
      <c r="J110" s="7">
        <v>28463</v>
      </c>
      <c r="K110" s="7">
        <v>6089</v>
      </c>
      <c r="L110" s="7">
        <v>7868</v>
      </c>
      <c r="M110" s="7">
        <v>1929</v>
      </c>
      <c r="N110" s="7">
        <v>106698</v>
      </c>
      <c r="O110" s="7">
        <v>15</v>
      </c>
      <c r="P110" s="7">
        <v>87</v>
      </c>
      <c r="Q110" s="7" t="s">
        <v>60</v>
      </c>
      <c r="R110" s="6" t="s">
        <v>41</v>
      </c>
      <c r="S110" s="94"/>
      <c r="T110" s="94"/>
      <c r="U110" s="94"/>
      <c r="V110" s="94"/>
      <c r="W110" s="94"/>
      <c r="X110" s="94"/>
      <c r="Y110" s="94"/>
      <c r="Z110" s="94"/>
      <c r="AA110" s="94"/>
    </row>
    <row r="111" spans="1:27" ht="18" customHeight="1">
      <c r="A111" s="4" t="s">
        <v>309</v>
      </c>
      <c r="B111" s="4" t="s">
        <v>310</v>
      </c>
      <c r="C111" s="4">
        <v>50</v>
      </c>
      <c r="D111" s="4" t="s">
        <v>52</v>
      </c>
      <c r="E111" s="11" t="s">
        <v>53</v>
      </c>
      <c r="F111" s="4" t="s">
        <v>87</v>
      </c>
      <c r="G111" s="12">
        <v>43383</v>
      </c>
      <c r="H111" s="4" t="s">
        <v>196</v>
      </c>
      <c r="I111" s="4">
        <v>115961</v>
      </c>
      <c r="J111" s="4">
        <v>56043</v>
      </c>
      <c r="K111" s="4">
        <v>10047</v>
      </c>
      <c r="L111" s="4">
        <v>1639</v>
      </c>
      <c r="M111" s="4">
        <v>2004</v>
      </c>
      <c r="N111" s="4">
        <v>181686</v>
      </c>
      <c r="O111" s="4">
        <v>17</v>
      </c>
      <c r="P111" s="4">
        <v>94</v>
      </c>
      <c r="Q111" s="4" t="s">
        <v>60</v>
      </c>
      <c r="R111" s="10" t="s">
        <v>49</v>
      </c>
      <c r="S111" s="94"/>
      <c r="T111" s="94"/>
      <c r="U111" s="94"/>
      <c r="V111" s="94"/>
      <c r="W111" s="94"/>
      <c r="X111" s="94"/>
      <c r="Y111" s="94"/>
      <c r="Z111" s="94"/>
      <c r="AA111" s="94"/>
    </row>
    <row r="112" spans="1:27" ht="18" customHeight="1">
      <c r="A112" s="7" t="s">
        <v>311</v>
      </c>
      <c r="B112" s="7" t="s">
        <v>312</v>
      </c>
      <c r="C112" s="7">
        <v>45</v>
      </c>
      <c r="D112" s="7" t="s">
        <v>52</v>
      </c>
      <c r="E112" s="14" t="s">
        <v>76</v>
      </c>
      <c r="F112" s="7" t="s">
        <v>226</v>
      </c>
      <c r="G112" s="9">
        <v>42631</v>
      </c>
      <c r="H112" s="7" t="s">
        <v>90</v>
      </c>
      <c r="I112" s="7">
        <v>63058</v>
      </c>
      <c r="J112" s="7">
        <v>30159</v>
      </c>
      <c r="K112" s="7">
        <v>4580</v>
      </c>
      <c r="L112" s="7">
        <v>5831</v>
      </c>
      <c r="M112" s="7">
        <v>6812</v>
      </c>
      <c r="N112" s="7">
        <v>96816</v>
      </c>
      <c r="O112" s="7">
        <v>26</v>
      </c>
      <c r="P112" s="7">
        <v>80</v>
      </c>
      <c r="Q112" s="7" t="s">
        <v>73</v>
      </c>
      <c r="R112" s="6" t="s">
        <v>41</v>
      </c>
      <c r="S112" s="94"/>
      <c r="T112" s="94"/>
      <c r="U112" s="94"/>
      <c r="V112" s="94"/>
      <c r="W112" s="94"/>
      <c r="X112" s="94"/>
      <c r="Y112" s="94"/>
      <c r="Z112" s="94"/>
      <c r="AA112" s="94"/>
    </row>
    <row r="113" spans="1:27" ht="18" customHeight="1">
      <c r="A113" s="4" t="s">
        <v>313</v>
      </c>
      <c r="B113" s="4" t="s">
        <v>314</v>
      </c>
      <c r="C113" s="4">
        <v>47</v>
      </c>
      <c r="D113" s="4" t="s">
        <v>44</v>
      </c>
      <c r="E113" s="13" t="s">
        <v>63</v>
      </c>
      <c r="F113" s="4" t="s">
        <v>115</v>
      </c>
      <c r="G113" s="12">
        <v>42173</v>
      </c>
      <c r="H113" s="4" t="s">
        <v>47</v>
      </c>
      <c r="I113" s="4">
        <v>100009</v>
      </c>
      <c r="J113" s="4">
        <v>37382</v>
      </c>
      <c r="K113" s="4">
        <v>11038</v>
      </c>
      <c r="L113" s="4">
        <v>1063</v>
      </c>
      <c r="M113" s="4">
        <v>6013</v>
      </c>
      <c r="N113" s="4">
        <v>143479</v>
      </c>
      <c r="O113" s="4">
        <v>16</v>
      </c>
      <c r="P113" s="4">
        <v>44</v>
      </c>
      <c r="Q113" s="4" t="s">
        <v>66</v>
      </c>
      <c r="R113" s="10" t="s">
        <v>49</v>
      </c>
      <c r="S113" s="94"/>
      <c r="T113" s="94"/>
      <c r="U113" s="94"/>
      <c r="V113" s="94"/>
      <c r="W113" s="94"/>
      <c r="X113" s="94"/>
      <c r="Y113" s="94"/>
      <c r="Z113" s="94"/>
      <c r="AA113" s="94"/>
    </row>
    <row r="114" spans="1:27" ht="18" customHeight="1">
      <c r="A114" s="7" t="s">
        <v>315</v>
      </c>
      <c r="B114" s="7" t="s">
        <v>316</v>
      </c>
      <c r="C114" s="7">
        <v>30</v>
      </c>
      <c r="D114" s="7" t="s">
        <v>52</v>
      </c>
      <c r="E114" s="5" t="s">
        <v>111</v>
      </c>
      <c r="F114" s="7" t="s">
        <v>112</v>
      </c>
      <c r="G114" s="9">
        <v>42907</v>
      </c>
      <c r="H114" s="7" t="s">
        <v>84</v>
      </c>
      <c r="I114" s="7">
        <v>34720</v>
      </c>
      <c r="J114" s="7">
        <v>13541</v>
      </c>
      <c r="K114" s="7">
        <v>13142</v>
      </c>
      <c r="L114" s="7">
        <v>4238</v>
      </c>
      <c r="M114" s="7">
        <v>3822</v>
      </c>
      <c r="N114" s="7">
        <v>61819</v>
      </c>
      <c r="O114" s="7">
        <v>17</v>
      </c>
      <c r="P114" s="7">
        <v>96</v>
      </c>
      <c r="Q114" s="7" t="s">
        <v>40</v>
      </c>
      <c r="R114" s="13" t="s">
        <v>67</v>
      </c>
      <c r="S114" s="94"/>
      <c r="T114" s="94"/>
      <c r="U114" s="94"/>
      <c r="V114" s="94"/>
      <c r="W114" s="94"/>
      <c r="X114" s="94"/>
      <c r="Y114" s="94"/>
      <c r="Z114" s="94"/>
      <c r="AA114" s="94"/>
    </row>
    <row r="115" spans="1:27" ht="18" customHeight="1">
      <c r="A115" s="4" t="s">
        <v>317</v>
      </c>
      <c r="B115" s="4" t="s">
        <v>318</v>
      </c>
      <c r="C115" s="4">
        <v>38</v>
      </c>
      <c r="D115" s="4" t="s">
        <v>52</v>
      </c>
      <c r="E115" s="10" t="s">
        <v>58</v>
      </c>
      <c r="F115" s="4" t="s">
        <v>59</v>
      </c>
      <c r="G115" s="12">
        <v>43530</v>
      </c>
      <c r="H115" s="4" t="s">
        <v>196</v>
      </c>
      <c r="I115" s="4">
        <v>67291</v>
      </c>
      <c r="J115" s="4">
        <v>32767</v>
      </c>
      <c r="K115" s="4">
        <v>5694</v>
      </c>
      <c r="L115" s="4">
        <v>2834</v>
      </c>
      <c r="M115" s="4">
        <v>5250</v>
      </c>
      <c r="N115" s="4">
        <v>103336</v>
      </c>
      <c r="O115" s="4">
        <v>19</v>
      </c>
      <c r="P115" s="4">
        <v>94</v>
      </c>
      <c r="Q115" s="4" t="s">
        <v>73</v>
      </c>
      <c r="R115" s="10" t="s">
        <v>49</v>
      </c>
      <c r="S115" s="94"/>
      <c r="T115" s="94"/>
      <c r="U115" s="94"/>
      <c r="V115" s="94"/>
      <c r="W115" s="94"/>
      <c r="X115" s="94"/>
      <c r="Y115" s="94"/>
      <c r="Z115" s="94"/>
      <c r="AA115" s="94"/>
    </row>
    <row r="116" spans="1:27" ht="18" customHeight="1">
      <c r="A116" s="7" t="s">
        <v>319</v>
      </c>
      <c r="B116" s="7" t="s">
        <v>320</v>
      </c>
      <c r="C116" s="7">
        <v>24</v>
      </c>
      <c r="D116" s="7" t="s">
        <v>44</v>
      </c>
      <c r="E116" s="14" t="s">
        <v>76</v>
      </c>
      <c r="F116" s="7" t="s">
        <v>226</v>
      </c>
      <c r="G116" s="9">
        <v>44974</v>
      </c>
      <c r="H116" s="7" t="s">
        <v>78</v>
      </c>
      <c r="I116" s="7">
        <v>109015</v>
      </c>
      <c r="J116" s="7">
        <v>36381</v>
      </c>
      <c r="K116" s="7">
        <v>11513</v>
      </c>
      <c r="L116" s="7">
        <v>1263</v>
      </c>
      <c r="M116" s="7">
        <v>2402</v>
      </c>
      <c r="N116" s="7">
        <v>155770</v>
      </c>
      <c r="O116" s="7">
        <v>25</v>
      </c>
      <c r="P116" s="7">
        <v>79</v>
      </c>
      <c r="Q116" s="7" t="s">
        <v>48</v>
      </c>
      <c r="R116" s="6" t="s">
        <v>41</v>
      </c>
      <c r="S116" s="94"/>
      <c r="T116" s="94"/>
      <c r="U116" s="94"/>
      <c r="V116" s="94"/>
      <c r="W116" s="94"/>
      <c r="X116" s="94"/>
      <c r="Y116" s="94"/>
      <c r="Z116" s="94"/>
      <c r="AA116" s="94"/>
    </row>
    <row r="117" spans="1:27" ht="18" customHeight="1">
      <c r="A117" s="4" t="s">
        <v>321</v>
      </c>
      <c r="B117" s="4" t="s">
        <v>322</v>
      </c>
      <c r="C117" s="4">
        <v>37</v>
      </c>
      <c r="D117" s="4" t="s">
        <v>44</v>
      </c>
      <c r="E117" s="11" t="s">
        <v>53</v>
      </c>
      <c r="F117" s="4" t="s">
        <v>208</v>
      </c>
      <c r="G117" s="12">
        <v>44490</v>
      </c>
      <c r="H117" s="4" t="s">
        <v>78</v>
      </c>
      <c r="I117" s="4">
        <v>28969</v>
      </c>
      <c r="J117" s="4">
        <v>11576</v>
      </c>
      <c r="K117" s="4">
        <v>12275</v>
      </c>
      <c r="L117" s="4">
        <v>4469</v>
      </c>
      <c r="M117" s="4">
        <v>3372</v>
      </c>
      <c r="N117" s="4">
        <v>53917</v>
      </c>
      <c r="O117" s="4">
        <v>25</v>
      </c>
      <c r="P117" s="4">
        <v>59</v>
      </c>
      <c r="Q117" s="4" t="s">
        <v>66</v>
      </c>
      <c r="R117" s="10" t="s">
        <v>49</v>
      </c>
      <c r="S117" s="94"/>
      <c r="T117" s="94"/>
      <c r="U117" s="94"/>
      <c r="V117" s="94"/>
      <c r="W117" s="94"/>
      <c r="X117" s="94"/>
      <c r="Y117" s="94"/>
      <c r="Z117" s="94"/>
      <c r="AA117" s="94"/>
    </row>
    <row r="118" spans="1:27" ht="18" customHeight="1">
      <c r="A118" s="7" t="s">
        <v>323</v>
      </c>
      <c r="B118" s="7" t="s">
        <v>324</v>
      </c>
      <c r="C118" s="7">
        <v>44</v>
      </c>
      <c r="D118" s="7" t="s">
        <v>44</v>
      </c>
      <c r="E118" s="8" t="s">
        <v>45</v>
      </c>
      <c r="F118" s="7" t="s">
        <v>46</v>
      </c>
      <c r="G118" s="9">
        <v>42961</v>
      </c>
      <c r="H118" s="7" t="s">
        <v>84</v>
      </c>
      <c r="I118" s="7">
        <v>88471</v>
      </c>
      <c r="J118" s="7">
        <v>34759</v>
      </c>
      <c r="K118" s="7">
        <v>7573</v>
      </c>
      <c r="L118" s="7">
        <v>4969</v>
      </c>
      <c r="M118" s="7">
        <v>2176</v>
      </c>
      <c r="N118" s="7">
        <v>133596</v>
      </c>
      <c r="O118" s="7">
        <v>20</v>
      </c>
      <c r="P118" s="7">
        <v>95</v>
      </c>
      <c r="Q118" s="7" t="s">
        <v>48</v>
      </c>
      <c r="R118" s="6" t="s">
        <v>41</v>
      </c>
      <c r="S118" s="94"/>
      <c r="T118" s="94"/>
      <c r="U118" s="94"/>
      <c r="V118" s="94"/>
      <c r="W118" s="94"/>
      <c r="X118" s="94"/>
      <c r="Y118" s="94"/>
      <c r="Z118" s="94"/>
      <c r="AA118" s="94"/>
    </row>
    <row r="119" spans="1:27" ht="18" customHeight="1">
      <c r="A119" s="4" t="s">
        <v>325</v>
      </c>
      <c r="B119" s="4" t="s">
        <v>326</v>
      </c>
      <c r="C119" s="4">
        <v>48</v>
      </c>
      <c r="D119" s="4" t="s">
        <v>44</v>
      </c>
      <c r="E119" s="10" t="s">
        <v>58</v>
      </c>
      <c r="F119" s="4" t="s">
        <v>96</v>
      </c>
      <c r="G119" s="12">
        <v>43936</v>
      </c>
      <c r="H119" s="4" t="s">
        <v>196</v>
      </c>
      <c r="I119" s="4">
        <v>41059</v>
      </c>
      <c r="J119" s="4">
        <v>14514</v>
      </c>
      <c r="K119" s="4">
        <v>6061</v>
      </c>
      <c r="L119" s="4">
        <v>1154</v>
      </c>
      <c r="M119" s="4">
        <v>1793</v>
      </c>
      <c r="N119" s="4">
        <v>60995</v>
      </c>
      <c r="O119" s="4">
        <v>15</v>
      </c>
      <c r="P119" s="4">
        <v>58</v>
      </c>
      <c r="Q119" s="4" t="s">
        <v>48</v>
      </c>
      <c r="R119" s="6" t="s">
        <v>41</v>
      </c>
      <c r="S119" s="94"/>
      <c r="T119" s="94"/>
      <c r="U119" s="94"/>
      <c r="V119" s="94"/>
      <c r="W119" s="94"/>
      <c r="X119" s="94"/>
      <c r="Y119" s="94"/>
      <c r="Z119" s="94"/>
      <c r="AA119" s="94"/>
    </row>
    <row r="120" spans="1:27" ht="18" customHeight="1">
      <c r="A120" s="7" t="s">
        <v>327</v>
      </c>
      <c r="B120" s="7" t="s">
        <v>328</v>
      </c>
      <c r="C120" s="7">
        <v>54</v>
      </c>
      <c r="D120" s="7" t="s">
        <v>44</v>
      </c>
      <c r="E120" s="14" t="s">
        <v>76</v>
      </c>
      <c r="F120" s="7" t="s">
        <v>226</v>
      </c>
      <c r="G120" s="9">
        <v>43175</v>
      </c>
      <c r="H120" s="7" t="s">
        <v>84</v>
      </c>
      <c r="I120" s="7">
        <v>92466</v>
      </c>
      <c r="J120" s="7">
        <v>36373</v>
      </c>
      <c r="K120" s="7">
        <v>7055</v>
      </c>
      <c r="L120" s="7">
        <v>4074</v>
      </c>
      <c r="M120" s="7">
        <v>1189</v>
      </c>
      <c r="N120" s="7">
        <v>138779</v>
      </c>
      <c r="O120" s="7">
        <v>16</v>
      </c>
      <c r="P120" s="7">
        <v>100</v>
      </c>
      <c r="Q120" s="7" t="s">
        <v>60</v>
      </c>
      <c r="R120" s="6" t="s">
        <v>41</v>
      </c>
      <c r="S120" s="94"/>
      <c r="T120" s="94"/>
      <c r="U120" s="94"/>
      <c r="V120" s="94"/>
      <c r="W120" s="94"/>
      <c r="X120" s="94"/>
      <c r="Y120" s="94"/>
      <c r="Z120" s="94"/>
      <c r="AA120" s="94"/>
    </row>
    <row r="121" spans="1:27" ht="18" customHeight="1">
      <c r="A121" s="4" t="s">
        <v>329</v>
      </c>
      <c r="B121" s="4" t="s">
        <v>330</v>
      </c>
      <c r="C121" s="4">
        <v>38</v>
      </c>
      <c r="D121" s="4" t="s">
        <v>52</v>
      </c>
      <c r="E121" s="8" t="s">
        <v>45</v>
      </c>
      <c r="F121" s="4" t="s">
        <v>46</v>
      </c>
      <c r="G121" s="12">
        <v>43697</v>
      </c>
      <c r="H121" s="4" t="s">
        <v>47</v>
      </c>
      <c r="I121" s="4">
        <v>110755</v>
      </c>
      <c r="J121" s="4">
        <v>48124</v>
      </c>
      <c r="K121" s="4">
        <v>6681</v>
      </c>
      <c r="L121" s="4">
        <v>4396</v>
      </c>
      <c r="M121" s="4">
        <v>1066</v>
      </c>
      <c r="N121" s="4">
        <v>168890</v>
      </c>
      <c r="O121" s="4">
        <v>16</v>
      </c>
      <c r="P121" s="4">
        <v>67</v>
      </c>
      <c r="Q121" s="4" t="s">
        <v>60</v>
      </c>
      <c r="R121" s="6" t="s">
        <v>41</v>
      </c>
      <c r="S121" s="94"/>
      <c r="T121" s="94"/>
      <c r="U121" s="94"/>
      <c r="V121" s="94"/>
      <c r="W121" s="94"/>
      <c r="X121" s="94"/>
      <c r="Y121" s="94"/>
      <c r="Z121" s="94"/>
      <c r="AA121" s="94"/>
    </row>
    <row r="122" spans="1:27" ht="18" customHeight="1">
      <c r="A122" s="7" t="s">
        <v>331</v>
      </c>
      <c r="B122" s="7" t="s">
        <v>332</v>
      </c>
      <c r="C122" s="7">
        <v>29</v>
      </c>
      <c r="D122" s="7" t="s">
        <v>44</v>
      </c>
      <c r="E122" s="8" t="s">
        <v>45</v>
      </c>
      <c r="F122" s="7" t="s">
        <v>81</v>
      </c>
      <c r="G122" s="9">
        <v>42295</v>
      </c>
      <c r="H122" s="7" t="s">
        <v>196</v>
      </c>
      <c r="I122" s="7">
        <v>50513</v>
      </c>
      <c r="J122" s="7">
        <v>18816</v>
      </c>
      <c r="K122" s="7">
        <v>6728</v>
      </c>
      <c r="L122" s="7">
        <v>602</v>
      </c>
      <c r="M122" s="7">
        <v>4164</v>
      </c>
      <c r="N122" s="7">
        <v>72495</v>
      </c>
      <c r="O122" s="7">
        <v>23</v>
      </c>
      <c r="P122" s="7">
        <v>68</v>
      </c>
      <c r="Q122" s="7" t="s">
        <v>60</v>
      </c>
      <c r="R122" s="6" t="s">
        <v>41</v>
      </c>
      <c r="S122" s="94"/>
      <c r="T122" s="94"/>
      <c r="U122" s="94"/>
      <c r="V122" s="94"/>
      <c r="W122" s="94"/>
      <c r="X122" s="94"/>
      <c r="Y122" s="94"/>
      <c r="Z122" s="94"/>
      <c r="AA122" s="94"/>
    </row>
    <row r="123" spans="1:27" ht="18" customHeight="1">
      <c r="A123" s="4" t="s">
        <v>333</v>
      </c>
      <c r="B123" s="4" t="s">
        <v>334</v>
      </c>
      <c r="C123" s="4">
        <v>52</v>
      </c>
      <c r="D123" s="4" t="s">
        <v>35</v>
      </c>
      <c r="E123" s="10" t="s">
        <v>141</v>
      </c>
      <c r="F123" s="4" t="s">
        <v>93</v>
      </c>
      <c r="G123" s="4" t="s">
        <v>335</v>
      </c>
      <c r="H123" s="4" t="s">
        <v>90</v>
      </c>
      <c r="I123" s="4">
        <v>91731</v>
      </c>
      <c r="J123" s="4">
        <v>34883</v>
      </c>
      <c r="K123" s="4">
        <v>2659</v>
      </c>
      <c r="L123" s="4">
        <v>371</v>
      </c>
      <c r="M123" s="4">
        <v>1318</v>
      </c>
      <c r="N123" s="4">
        <v>128326</v>
      </c>
      <c r="O123" s="4">
        <v>17</v>
      </c>
      <c r="P123" s="4">
        <v>85</v>
      </c>
      <c r="Q123" s="4" t="s">
        <v>48</v>
      </c>
      <c r="R123" s="6" t="s">
        <v>41</v>
      </c>
      <c r="S123" s="94"/>
      <c r="T123" s="94"/>
      <c r="U123" s="94"/>
      <c r="V123" s="94"/>
      <c r="W123" s="94"/>
      <c r="X123" s="94"/>
      <c r="Y123" s="94"/>
      <c r="Z123" s="94"/>
      <c r="AA123" s="94"/>
    </row>
    <row r="124" spans="1:27" ht="18" customHeight="1">
      <c r="A124" s="7" t="s">
        <v>336</v>
      </c>
      <c r="B124" s="7" t="s">
        <v>337</v>
      </c>
      <c r="C124" s="7">
        <v>41</v>
      </c>
      <c r="D124" s="7" t="s">
        <v>44</v>
      </c>
      <c r="E124" s="13" t="s">
        <v>63</v>
      </c>
      <c r="F124" s="7" t="s">
        <v>102</v>
      </c>
      <c r="G124" s="9">
        <v>43903</v>
      </c>
      <c r="H124" s="7" t="s">
        <v>84</v>
      </c>
      <c r="I124" s="7">
        <v>105805</v>
      </c>
      <c r="J124" s="7">
        <v>47386</v>
      </c>
      <c r="K124" s="7">
        <v>6902</v>
      </c>
      <c r="L124" s="7">
        <v>4863</v>
      </c>
      <c r="M124" s="7">
        <v>3755</v>
      </c>
      <c r="N124" s="7">
        <v>161201</v>
      </c>
      <c r="O124" s="7">
        <v>23</v>
      </c>
      <c r="P124" s="7">
        <v>93</v>
      </c>
      <c r="Q124" s="7" t="s">
        <v>40</v>
      </c>
      <c r="R124" s="6" t="s">
        <v>41</v>
      </c>
      <c r="S124" s="94"/>
      <c r="T124" s="94"/>
      <c r="U124" s="94"/>
      <c r="V124" s="94"/>
      <c r="W124" s="94"/>
      <c r="X124" s="94"/>
      <c r="Y124" s="94"/>
      <c r="Z124" s="94"/>
      <c r="AA124" s="94"/>
    </row>
    <row r="125" spans="1:27" ht="18" customHeight="1">
      <c r="A125" s="4" t="s">
        <v>338</v>
      </c>
      <c r="B125" s="4" t="s">
        <v>339</v>
      </c>
      <c r="C125" s="4">
        <v>25</v>
      </c>
      <c r="D125" s="4" t="s">
        <v>52</v>
      </c>
      <c r="E125" s="5" t="s">
        <v>111</v>
      </c>
      <c r="F125" s="4" t="s">
        <v>217</v>
      </c>
      <c r="G125" s="12">
        <v>42293</v>
      </c>
      <c r="H125" s="4" t="s">
        <v>90</v>
      </c>
      <c r="I125" s="4">
        <v>59803</v>
      </c>
      <c r="J125" s="4">
        <v>29508</v>
      </c>
      <c r="K125" s="4">
        <v>14827</v>
      </c>
      <c r="L125" s="4">
        <v>7963</v>
      </c>
      <c r="M125" s="4">
        <v>7358</v>
      </c>
      <c r="N125" s="4">
        <v>104743</v>
      </c>
      <c r="O125" s="4">
        <v>24</v>
      </c>
      <c r="P125" s="4">
        <v>76</v>
      </c>
      <c r="Q125" s="4" t="s">
        <v>48</v>
      </c>
      <c r="R125" s="6" t="s">
        <v>41</v>
      </c>
      <c r="S125" s="94"/>
      <c r="T125" s="94"/>
      <c r="U125" s="94"/>
      <c r="V125" s="94"/>
      <c r="W125" s="94"/>
      <c r="X125" s="94"/>
      <c r="Y125" s="94"/>
      <c r="Z125" s="94"/>
      <c r="AA125" s="94"/>
    </row>
    <row r="126" spans="1:27" ht="18" customHeight="1">
      <c r="A126" s="7" t="s">
        <v>340</v>
      </c>
      <c r="B126" s="7" t="s">
        <v>341</v>
      </c>
      <c r="C126" s="7">
        <v>35</v>
      </c>
      <c r="D126" s="7" t="s">
        <v>44</v>
      </c>
      <c r="E126" s="5" t="s">
        <v>111</v>
      </c>
      <c r="F126" s="7" t="s">
        <v>128</v>
      </c>
      <c r="G126" s="9">
        <v>43119</v>
      </c>
      <c r="H126" s="7" t="s">
        <v>84</v>
      </c>
      <c r="I126" s="7">
        <v>116818</v>
      </c>
      <c r="J126" s="7">
        <v>37613</v>
      </c>
      <c r="K126" s="7">
        <v>2310</v>
      </c>
      <c r="L126" s="7">
        <v>3612</v>
      </c>
      <c r="M126" s="7">
        <v>3569</v>
      </c>
      <c r="N126" s="7">
        <v>156784</v>
      </c>
      <c r="O126" s="7">
        <v>21</v>
      </c>
      <c r="P126" s="7">
        <v>49</v>
      </c>
      <c r="Q126" s="7" t="s">
        <v>66</v>
      </c>
      <c r="R126" s="13" t="s">
        <v>67</v>
      </c>
      <c r="S126" s="94"/>
      <c r="T126" s="94"/>
      <c r="U126" s="94"/>
      <c r="V126" s="94"/>
      <c r="W126" s="94"/>
      <c r="X126" s="94"/>
      <c r="Y126" s="94"/>
      <c r="Z126" s="94"/>
      <c r="AA126" s="94"/>
    </row>
    <row r="127" spans="1:27" ht="18" customHeight="1">
      <c r="A127" s="4" t="s">
        <v>342</v>
      </c>
      <c r="B127" s="4" t="s">
        <v>343</v>
      </c>
      <c r="C127" s="4">
        <v>51</v>
      </c>
      <c r="D127" s="4" t="s">
        <v>52</v>
      </c>
      <c r="E127" s="14" t="s">
        <v>76</v>
      </c>
      <c r="F127" s="4" t="s">
        <v>99</v>
      </c>
      <c r="G127" s="12">
        <v>42985</v>
      </c>
      <c r="H127" s="4" t="s">
        <v>90</v>
      </c>
      <c r="I127" s="4">
        <v>98516</v>
      </c>
      <c r="J127" s="4">
        <v>35959</v>
      </c>
      <c r="K127" s="4">
        <v>12849</v>
      </c>
      <c r="L127" s="4">
        <v>3918</v>
      </c>
      <c r="M127" s="4">
        <v>5304</v>
      </c>
      <c r="N127" s="4">
        <v>145938</v>
      </c>
      <c r="O127" s="4">
        <v>21</v>
      </c>
      <c r="P127" s="4">
        <v>60</v>
      </c>
      <c r="Q127" s="4" t="s">
        <v>60</v>
      </c>
      <c r="R127" s="6" t="s">
        <v>41</v>
      </c>
      <c r="S127" s="94"/>
      <c r="T127" s="94"/>
      <c r="U127" s="94"/>
      <c r="V127" s="94"/>
      <c r="W127" s="94"/>
      <c r="X127" s="94"/>
      <c r="Y127" s="94"/>
      <c r="Z127" s="94"/>
      <c r="AA127" s="94"/>
    </row>
    <row r="128" spans="1:27" ht="18" customHeight="1">
      <c r="A128" s="7" t="s">
        <v>344</v>
      </c>
      <c r="B128" s="7" t="s">
        <v>345</v>
      </c>
      <c r="C128" s="7">
        <v>42</v>
      </c>
      <c r="D128" s="7" t="s">
        <v>44</v>
      </c>
      <c r="E128" s="10" t="s">
        <v>58</v>
      </c>
      <c r="F128" s="7" t="s">
        <v>105</v>
      </c>
      <c r="G128" s="9">
        <v>43199</v>
      </c>
      <c r="H128" s="7" t="s">
        <v>84</v>
      </c>
      <c r="I128" s="7"/>
      <c r="J128" s="7">
        <v>35304</v>
      </c>
      <c r="K128" s="7">
        <v>6876</v>
      </c>
      <c r="L128" s="7">
        <v>6317</v>
      </c>
      <c r="M128" s="7">
        <v>3367</v>
      </c>
      <c r="N128" s="7"/>
      <c r="O128" s="7">
        <v>26</v>
      </c>
      <c r="P128" s="7">
        <v>53</v>
      </c>
      <c r="Q128" s="7" t="s">
        <v>60</v>
      </c>
      <c r="R128" s="6" t="s">
        <v>41</v>
      </c>
      <c r="S128" s="94"/>
      <c r="T128" s="94"/>
      <c r="U128" s="94"/>
      <c r="V128" s="94"/>
      <c r="W128" s="94"/>
      <c r="X128" s="94"/>
      <c r="Y128" s="94"/>
      <c r="Z128" s="94"/>
      <c r="AA128" s="94"/>
    </row>
    <row r="129" spans="1:27" ht="18" customHeight="1">
      <c r="A129" s="4" t="s">
        <v>346</v>
      </c>
      <c r="B129" s="4" t="s">
        <v>347</v>
      </c>
      <c r="C129" s="4">
        <v>44</v>
      </c>
      <c r="D129" s="4" t="s">
        <v>52</v>
      </c>
      <c r="E129" s="11" t="s">
        <v>53</v>
      </c>
      <c r="F129" s="4" t="s">
        <v>118</v>
      </c>
      <c r="G129" s="12">
        <v>45120</v>
      </c>
      <c r="H129" s="4" t="s">
        <v>84</v>
      </c>
      <c r="I129" s="4">
        <v>70237</v>
      </c>
      <c r="J129" s="4">
        <v>34481</v>
      </c>
      <c r="K129" s="4">
        <v>4399</v>
      </c>
      <c r="L129" s="4">
        <v>2379</v>
      </c>
      <c r="M129" s="4">
        <v>1344</v>
      </c>
      <c r="N129" s="4">
        <v>110152</v>
      </c>
      <c r="O129" s="4">
        <v>19</v>
      </c>
      <c r="P129" s="4">
        <v>85</v>
      </c>
      <c r="Q129" s="4" t="s">
        <v>66</v>
      </c>
      <c r="R129" s="10" t="s">
        <v>49</v>
      </c>
      <c r="S129" s="94"/>
      <c r="T129" s="94"/>
      <c r="U129" s="94"/>
      <c r="V129" s="94"/>
      <c r="W129" s="94"/>
      <c r="X129" s="94"/>
      <c r="Y129" s="94"/>
      <c r="Z129" s="94"/>
      <c r="AA129" s="94"/>
    </row>
    <row r="130" spans="1:27" ht="18" customHeight="1">
      <c r="A130" s="7" t="s">
        <v>348</v>
      </c>
      <c r="B130" s="7" t="s">
        <v>349</v>
      </c>
      <c r="C130" s="7">
        <v>25</v>
      </c>
      <c r="D130" s="7" t="s">
        <v>52</v>
      </c>
      <c r="E130" s="13" t="s">
        <v>63</v>
      </c>
      <c r="F130" s="7" t="s">
        <v>70</v>
      </c>
      <c r="G130" s="9">
        <v>45064</v>
      </c>
      <c r="H130" s="7" t="s">
        <v>47</v>
      </c>
      <c r="I130" s="7">
        <v>116248</v>
      </c>
      <c r="J130" s="7">
        <v>41189</v>
      </c>
      <c r="K130" s="7">
        <v>3789</v>
      </c>
      <c r="L130" s="7">
        <v>5043</v>
      </c>
      <c r="M130" s="7">
        <v>7069</v>
      </c>
      <c r="N130" s="7">
        <v>159200</v>
      </c>
      <c r="O130" s="7">
        <v>24</v>
      </c>
      <c r="P130" s="7">
        <v>55</v>
      </c>
      <c r="Q130" s="7" t="s">
        <v>73</v>
      </c>
      <c r="R130" s="13" t="s">
        <v>67</v>
      </c>
      <c r="S130" s="94"/>
      <c r="T130" s="94"/>
      <c r="U130" s="94"/>
      <c r="V130" s="94"/>
      <c r="W130" s="94"/>
      <c r="X130" s="94"/>
      <c r="Y130" s="94"/>
      <c r="Z130" s="94"/>
      <c r="AA130" s="94"/>
    </row>
    <row r="131" spans="1:27" ht="18" customHeight="1">
      <c r="A131" s="4" t="s">
        <v>350</v>
      </c>
      <c r="B131" s="4" t="s">
        <v>351</v>
      </c>
      <c r="C131" s="4">
        <v>48</v>
      </c>
      <c r="D131" s="4" t="s">
        <v>52</v>
      </c>
      <c r="E131" s="8" t="s">
        <v>45</v>
      </c>
      <c r="F131" s="4" t="s">
        <v>46</v>
      </c>
      <c r="G131" s="12">
        <v>44370</v>
      </c>
      <c r="H131" s="4" t="s">
        <v>47</v>
      </c>
      <c r="I131" s="4">
        <v>86918</v>
      </c>
      <c r="J131" s="4">
        <v>27823</v>
      </c>
      <c r="K131" s="4">
        <v>14628</v>
      </c>
      <c r="L131" s="4">
        <v>1126</v>
      </c>
      <c r="M131" s="4">
        <v>1042</v>
      </c>
      <c r="N131" s="4">
        <v>129453</v>
      </c>
      <c r="O131" s="4">
        <v>23</v>
      </c>
      <c r="P131" s="4">
        <v>99</v>
      </c>
      <c r="Q131" s="4" t="s">
        <v>73</v>
      </c>
      <c r="R131" s="6" t="s">
        <v>41</v>
      </c>
      <c r="S131" s="94"/>
      <c r="T131" s="94"/>
      <c r="U131" s="94"/>
      <c r="V131" s="94"/>
      <c r="W131" s="94"/>
      <c r="X131" s="94"/>
      <c r="Y131" s="94"/>
      <c r="Z131" s="94"/>
      <c r="AA131" s="94"/>
    </row>
    <row r="132" spans="1:27" ht="18" customHeight="1">
      <c r="A132" s="7" t="s">
        <v>352</v>
      </c>
      <c r="B132" s="7" t="s">
        <v>353</v>
      </c>
      <c r="C132" s="7">
        <v>33</v>
      </c>
      <c r="D132" s="7" t="s">
        <v>52</v>
      </c>
      <c r="E132" s="11" t="s">
        <v>53</v>
      </c>
      <c r="F132" s="7" t="s">
        <v>54</v>
      </c>
      <c r="G132" s="9">
        <v>43771</v>
      </c>
      <c r="H132" s="7" t="s">
        <v>84</v>
      </c>
      <c r="I132" s="7">
        <v>36725</v>
      </c>
      <c r="J132" s="7">
        <v>15809</v>
      </c>
      <c r="K132" s="7">
        <v>5804</v>
      </c>
      <c r="L132" s="7">
        <v>4383</v>
      </c>
      <c r="M132" s="7">
        <v>7051</v>
      </c>
      <c r="N132" s="7">
        <v>55670</v>
      </c>
      <c r="O132" s="7">
        <v>26</v>
      </c>
      <c r="P132" s="7">
        <v>94</v>
      </c>
      <c r="Q132" s="7" t="s">
        <v>66</v>
      </c>
      <c r="R132" s="6" t="s">
        <v>41</v>
      </c>
      <c r="S132" s="94"/>
      <c r="T132" s="94"/>
      <c r="U132" s="94"/>
      <c r="V132" s="94"/>
      <c r="W132" s="94"/>
      <c r="X132" s="94"/>
      <c r="Y132" s="94"/>
      <c r="Z132" s="94"/>
      <c r="AA132" s="94"/>
    </row>
    <row r="133" spans="1:27" ht="18" customHeight="1">
      <c r="A133" s="4" t="s">
        <v>354</v>
      </c>
      <c r="B133" s="4" t="s">
        <v>355</v>
      </c>
      <c r="C133" s="4">
        <v>30</v>
      </c>
      <c r="D133" s="4" t="s">
        <v>44</v>
      </c>
      <c r="E133" s="13" t="s">
        <v>63</v>
      </c>
      <c r="F133" s="4" t="s">
        <v>102</v>
      </c>
      <c r="G133" s="12">
        <v>42014</v>
      </c>
      <c r="H133" s="4" t="s">
        <v>78</v>
      </c>
      <c r="I133" s="4">
        <v>99443</v>
      </c>
      <c r="J133" s="4">
        <v>41821</v>
      </c>
      <c r="K133" s="4">
        <v>7489</v>
      </c>
      <c r="L133" s="4">
        <v>2331</v>
      </c>
      <c r="M133" s="4">
        <v>4722</v>
      </c>
      <c r="N133" s="4">
        <v>146362</v>
      </c>
      <c r="O133" s="4">
        <v>25</v>
      </c>
      <c r="P133" s="4">
        <v>74</v>
      </c>
      <c r="Q133" s="4" t="s">
        <v>73</v>
      </c>
      <c r="R133" s="13" t="s">
        <v>67</v>
      </c>
      <c r="S133" s="94"/>
      <c r="T133" s="94"/>
      <c r="U133" s="94"/>
      <c r="V133" s="94"/>
      <c r="W133" s="94"/>
      <c r="X133" s="94"/>
      <c r="Y133" s="94"/>
      <c r="Z133" s="94"/>
      <c r="AA133" s="94"/>
    </row>
    <row r="134" spans="1:27" ht="18" customHeight="1">
      <c r="A134" s="7" t="s">
        <v>356</v>
      </c>
      <c r="B134" s="7" t="s">
        <v>357</v>
      </c>
      <c r="C134" s="7">
        <v>34</v>
      </c>
      <c r="D134" s="7" t="s">
        <v>44</v>
      </c>
      <c r="E134" s="8" t="s">
        <v>45</v>
      </c>
      <c r="F134" s="7" t="s">
        <v>108</v>
      </c>
      <c r="G134" s="9">
        <v>43084</v>
      </c>
      <c r="H134" s="7" t="s">
        <v>196</v>
      </c>
      <c r="I134" s="7">
        <v>109972</v>
      </c>
      <c r="J134" s="7">
        <v>38650</v>
      </c>
      <c r="K134" s="7">
        <v>5050</v>
      </c>
      <c r="L134" s="7">
        <v>115</v>
      </c>
      <c r="M134" s="7">
        <v>7034</v>
      </c>
      <c r="N134" s="7">
        <v>146753</v>
      </c>
      <c r="O134" s="7">
        <v>20</v>
      </c>
      <c r="P134" s="7">
        <v>90</v>
      </c>
      <c r="Q134" s="7" t="s">
        <v>66</v>
      </c>
      <c r="R134" s="13" t="s">
        <v>67</v>
      </c>
      <c r="S134" s="94"/>
      <c r="T134" s="94"/>
      <c r="U134" s="94"/>
      <c r="V134" s="94"/>
      <c r="W134" s="94"/>
      <c r="X134" s="94"/>
      <c r="Y134" s="94"/>
      <c r="Z134" s="94"/>
      <c r="AA134" s="94"/>
    </row>
    <row r="135" spans="1:27" ht="18" customHeight="1">
      <c r="A135" s="4" t="s">
        <v>358</v>
      </c>
      <c r="B135" s="4" t="s">
        <v>359</v>
      </c>
      <c r="C135" s="4">
        <v>46</v>
      </c>
      <c r="D135" s="4" t="s">
        <v>44</v>
      </c>
      <c r="E135" s="5" t="s">
        <v>111</v>
      </c>
      <c r="F135" s="4" t="s">
        <v>217</v>
      </c>
      <c r="G135" s="12">
        <v>42573</v>
      </c>
      <c r="H135" s="4" t="s">
        <v>196</v>
      </c>
      <c r="I135" s="4">
        <v>37502</v>
      </c>
      <c r="J135" s="4">
        <v>12637</v>
      </c>
      <c r="K135" s="4">
        <v>4303</v>
      </c>
      <c r="L135" s="4">
        <v>3911</v>
      </c>
      <c r="M135" s="4">
        <v>3650</v>
      </c>
      <c r="N135" s="4">
        <v>54703</v>
      </c>
      <c r="O135" s="4">
        <v>18</v>
      </c>
      <c r="P135" s="4">
        <v>40</v>
      </c>
      <c r="Q135" s="4" t="s">
        <v>60</v>
      </c>
      <c r="R135" s="6" t="s">
        <v>41</v>
      </c>
      <c r="S135" s="94"/>
      <c r="T135" s="94"/>
      <c r="U135" s="94"/>
      <c r="V135" s="94"/>
      <c r="W135" s="94"/>
      <c r="X135" s="94"/>
      <c r="Y135" s="94"/>
      <c r="Z135" s="94"/>
      <c r="AA135" s="94"/>
    </row>
    <row r="136" spans="1:27" ht="18" customHeight="1">
      <c r="A136" s="7" t="s">
        <v>360</v>
      </c>
      <c r="B136" s="7" t="s">
        <v>361</v>
      </c>
      <c r="C136" s="7">
        <v>54</v>
      </c>
      <c r="D136" s="7" t="s">
        <v>44</v>
      </c>
      <c r="E136" s="11" t="s">
        <v>53</v>
      </c>
      <c r="F136" s="7" t="s">
        <v>118</v>
      </c>
      <c r="G136" s="9">
        <v>43781</v>
      </c>
      <c r="H136" s="7" t="s">
        <v>47</v>
      </c>
      <c r="I136" s="7">
        <v>115802</v>
      </c>
      <c r="J136" s="7">
        <v>40213</v>
      </c>
      <c r="K136" s="7">
        <v>12941</v>
      </c>
      <c r="L136" s="7">
        <v>968</v>
      </c>
      <c r="M136" s="7">
        <v>4812</v>
      </c>
      <c r="N136" s="7">
        <v>165112</v>
      </c>
      <c r="O136" s="7">
        <v>19</v>
      </c>
      <c r="P136" s="7">
        <v>50</v>
      </c>
      <c r="Q136" s="7" t="s">
        <v>60</v>
      </c>
      <c r="R136" s="6" t="s">
        <v>41</v>
      </c>
      <c r="S136" s="94"/>
      <c r="T136" s="94"/>
      <c r="U136" s="94"/>
      <c r="V136" s="94"/>
      <c r="W136" s="94"/>
      <c r="X136" s="94"/>
      <c r="Y136" s="94"/>
      <c r="Z136" s="94"/>
      <c r="AA136" s="94"/>
    </row>
    <row r="137" spans="1:27" ht="18" customHeight="1">
      <c r="A137" s="4" t="s">
        <v>362</v>
      </c>
      <c r="B137" s="4" t="s">
        <v>363</v>
      </c>
      <c r="C137" s="4">
        <v>35</v>
      </c>
      <c r="D137" s="4" t="s">
        <v>44</v>
      </c>
      <c r="E137" s="11" t="s">
        <v>53</v>
      </c>
      <c r="F137" s="4" t="s">
        <v>208</v>
      </c>
      <c r="G137" s="12">
        <v>43175</v>
      </c>
      <c r="H137" s="4" t="s">
        <v>78</v>
      </c>
      <c r="I137" s="4">
        <v>45078</v>
      </c>
      <c r="J137" s="4">
        <v>17625</v>
      </c>
      <c r="K137" s="4">
        <v>11924</v>
      </c>
      <c r="L137" s="4">
        <v>3060</v>
      </c>
      <c r="M137" s="4">
        <v>4406</v>
      </c>
      <c r="N137" s="4">
        <v>73281</v>
      </c>
      <c r="O137" s="4">
        <v>26</v>
      </c>
      <c r="P137" s="4">
        <v>75</v>
      </c>
      <c r="Q137" s="4" t="s">
        <v>48</v>
      </c>
      <c r="R137" s="6" t="s">
        <v>41</v>
      </c>
      <c r="S137" s="94"/>
      <c r="T137" s="94"/>
      <c r="U137" s="94"/>
      <c r="V137" s="94"/>
      <c r="W137" s="94"/>
      <c r="X137" s="94"/>
      <c r="Y137" s="94"/>
      <c r="Z137" s="94"/>
      <c r="AA137" s="94"/>
    </row>
    <row r="138" spans="1:27" ht="18" customHeight="1">
      <c r="A138" s="7" t="s">
        <v>364</v>
      </c>
      <c r="B138" s="7" t="s">
        <v>365</v>
      </c>
      <c r="C138" s="7">
        <v>31</v>
      </c>
      <c r="D138" s="7" t="s">
        <v>52</v>
      </c>
      <c r="E138" s="8" t="s">
        <v>45</v>
      </c>
      <c r="F138" s="7" t="s">
        <v>81</v>
      </c>
      <c r="G138" s="9">
        <v>45272</v>
      </c>
      <c r="H138" s="7" t="s">
        <v>196</v>
      </c>
      <c r="I138" s="7">
        <v>35237</v>
      </c>
      <c r="J138" s="7">
        <v>17035</v>
      </c>
      <c r="K138" s="7">
        <v>3838</v>
      </c>
      <c r="L138" s="7">
        <v>505</v>
      </c>
      <c r="M138" s="7">
        <v>7789</v>
      </c>
      <c r="N138" s="7">
        <v>48826</v>
      </c>
      <c r="O138" s="7">
        <v>23</v>
      </c>
      <c r="P138" s="7">
        <v>97</v>
      </c>
      <c r="Q138" s="7" t="s">
        <v>66</v>
      </c>
      <c r="R138" s="6" t="s">
        <v>41</v>
      </c>
      <c r="S138" s="94"/>
      <c r="T138" s="94"/>
      <c r="U138" s="94"/>
      <c r="V138" s="94"/>
      <c r="W138" s="94"/>
      <c r="X138" s="94"/>
      <c r="Y138" s="94"/>
      <c r="Z138" s="94"/>
      <c r="AA138" s="94"/>
    </row>
    <row r="139" spans="1:27" ht="18" customHeight="1">
      <c r="A139" s="4" t="s">
        <v>366</v>
      </c>
      <c r="B139" s="4" t="s">
        <v>367</v>
      </c>
      <c r="C139" s="4">
        <v>51</v>
      </c>
      <c r="D139" s="4" t="s">
        <v>52</v>
      </c>
      <c r="E139" s="8" t="s">
        <v>45</v>
      </c>
      <c r="F139" s="4" t="s">
        <v>306</v>
      </c>
      <c r="G139" s="12">
        <v>44609</v>
      </c>
      <c r="H139" s="4" t="s">
        <v>47</v>
      </c>
      <c r="I139" s="4">
        <v>83390</v>
      </c>
      <c r="J139" s="4">
        <v>38504</v>
      </c>
      <c r="K139" s="4">
        <v>9429</v>
      </c>
      <c r="L139" s="4">
        <v>1080</v>
      </c>
      <c r="M139" s="4">
        <v>5204</v>
      </c>
      <c r="N139" s="4">
        <v>127199</v>
      </c>
      <c r="O139" s="4">
        <v>21</v>
      </c>
      <c r="P139" s="4">
        <v>69</v>
      </c>
      <c r="Q139" s="4" t="s">
        <v>66</v>
      </c>
      <c r="R139" s="6" t="s">
        <v>41</v>
      </c>
      <c r="S139" s="94"/>
      <c r="T139" s="94"/>
      <c r="U139" s="94"/>
      <c r="V139" s="94"/>
      <c r="W139" s="94"/>
      <c r="X139" s="94"/>
      <c r="Y139" s="94"/>
      <c r="Z139" s="94"/>
      <c r="AA139" s="94"/>
    </row>
    <row r="140" spans="1:27" ht="18" customHeight="1">
      <c r="A140" s="7" t="s">
        <v>368</v>
      </c>
      <c r="B140" s="7" t="s">
        <v>369</v>
      </c>
      <c r="C140" s="7">
        <v>52</v>
      </c>
      <c r="D140" s="7" t="s">
        <v>52</v>
      </c>
      <c r="E140" s="11" t="s">
        <v>53</v>
      </c>
      <c r="F140" s="7" t="s">
        <v>118</v>
      </c>
      <c r="G140" s="9">
        <v>43376</v>
      </c>
      <c r="H140" s="7" t="s">
        <v>55</v>
      </c>
      <c r="I140" s="7">
        <v>30936</v>
      </c>
      <c r="J140" s="7">
        <v>11902</v>
      </c>
      <c r="K140" s="7">
        <v>13475</v>
      </c>
      <c r="L140" s="7">
        <v>522</v>
      </c>
      <c r="M140" s="7">
        <v>5433</v>
      </c>
      <c r="N140" s="7">
        <v>51402</v>
      </c>
      <c r="O140" s="7">
        <v>15</v>
      </c>
      <c r="P140" s="7">
        <v>99</v>
      </c>
      <c r="Q140" s="7" t="s">
        <v>73</v>
      </c>
      <c r="R140" s="6" t="s">
        <v>41</v>
      </c>
      <c r="S140" s="94"/>
      <c r="T140" s="94"/>
      <c r="U140" s="94"/>
      <c r="V140" s="94"/>
      <c r="W140" s="94"/>
      <c r="X140" s="94"/>
      <c r="Y140" s="94"/>
      <c r="Z140" s="94"/>
      <c r="AA140" s="94"/>
    </row>
    <row r="141" spans="1:27" ht="18" customHeight="1">
      <c r="A141" s="4" t="s">
        <v>370</v>
      </c>
      <c r="B141" s="4" t="s">
        <v>371</v>
      </c>
      <c r="C141" s="4">
        <v>29</v>
      </c>
      <c r="D141" s="4" t="s">
        <v>44</v>
      </c>
      <c r="E141" s="14" t="s">
        <v>76</v>
      </c>
      <c r="F141" s="4" t="s">
        <v>77</v>
      </c>
      <c r="G141" s="12">
        <v>44027</v>
      </c>
      <c r="H141" s="4" t="s">
        <v>196</v>
      </c>
      <c r="I141" s="4">
        <v>74479</v>
      </c>
      <c r="J141" s="4">
        <v>27939</v>
      </c>
      <c r="K141" s="4">
        <v>13185</v>
      </c>
      <c r="L141" s="4">
        <v>7898</v>
      </c>
      <c r="M141" s="4">
        <v>6421</v>
      </c>
      <c r="N141" s="4">
        <v>117080</v>
      </c>
      <c r="O141" s="4">
        <v>23</v>
      </c>
      <c r="P141" s="4">
        <v>48</v>
      </c>
      <c r="Q141" s="4" t="s">
        <v>73</v>
      </c>
      <c r="R141" s="13" t="s">
        <v>67</v>
      </c>
      <c r="S141" s="94"/>
      <c r="T141" s="94"/>
      <c r="U141" s="94"/>
      <c r="V141" s="94"/>
      <c r="W141" s="94"/>
      <c r="X141" s="94"/>
      <c r="Y141" s="94"/>
      <c r="Z141" s="94"/>
      <c r="AA141" s="94"/>
    </row>
    <row r="142" spans="1:27" ht="18" customHeight="1">
      <c r="A142" s="7" t="s">
        <v>372</v>
      </c>
      <c r="B142" s="7" t="s">
        <v>373</v>
      </c>
      <c r="C142" s="7">
        <v>37</v>
      </c>
      <c r="D142" s="7" t="s">
        <v>52</v>
      </c>
      <c r="E142" s="14" t="s">
        <v>76</v>
      </c>
      <c r="F142" s="7" t="s">
        <v>154</v>
      </c>
      <c r="G142" s="9">
        <v>42014</v>
      </c>
      <c r="H142" s="7" t="s">
        <v>84</v>
      </c>
      <c r="I142" s="7">
        <v>85686</v>
      </c>
      <c r="J142" s="7">
        <v>37248</v>
      </c>
      <c r="K142" s="7">
        <v>10920</v>
      </c>
      <c r="L142" s="7">
        <v>3474</v>
      </c>
      <c r="M142" s="7">
        <v>5357</v>
      </c>
      <c r="N142" s="7">
        <v>131971</v>
      </c>
      <c r="O142" s="7">
        <v>21</v>
      </c>
      <c r="P142" s="7">
        <v>92</v>
      </c>
      <c r="Q142" s="7" t="s">
        <v>73</v>
      </c>
      <c r="R142" s="6" t="s">
        <v>41</v>
      </c>
      <c r="S142" s="94"/>
      <c r="T142" s="94"/>
      <c r="U142" s="94"/>
      <c r="V142" s="94"/>
      <c r="W142" s="94"/>
      <c r="X142" s="94"/>
      <c r="Y142" s="94"/>
      <c r="Z142" s="94"/>
      <c r="AA142" s="94"/>
    </row>
    <row r="143" spans="1:27" ht="18" customHeight="1">
      <c r="A143" s="4" t="s">
        <v>374</v>
      </c>
      <c r="B143" s="4" t="s">
        <v>375</v>
      </c>
      <c r="C143" s="4">
        <v>50</v>
      </c>
      <c r="D143" s="4" t="s">
        <v>52</v>
      </c>
      <c r="E143" s="14" t="s">
        <v>76</v>
      </c>
      <c r="F143" s="4" t="s">
        <v>99</v>
      </c>
      <c r="G143" s="4" t="s">
        <v>376</v>
      </c>
      <c r="H143" s="4" t="s">
        <v>90</v>
      </c>
      <c r="I143" s="4">
        <v>105599</v>
      </c>
      <c r="J143" s="4">
        <v>47859</v>
      </c>
      <c r="K143" s="4">
        <v>2256</v>
      </c>
      <c r="L143" s="4">
        <v>1971</v>
      </c>
      <c r="M143" s="4">
        <v>2688</v>
      </c>
      <c r="N143" s="4">
        <v>154997</v>
      </c>
      <c r="O143" s="4">
        <v>-16</v>
      </c>
      <c r="P143" s="4">
        <v>46</v>
      </c>
      <c r="Q143" s="4" t="s">
        <v>73</v>
      </c>
      <c r="R143" s="10" t="s">
        <v>49</v>
      </c>
      <c r="S143" s="94"/>
      <c r="T143" s="94"/>
      <c r="U143" s="94"/>
      <c r="V143" s="94"/>
      <c r="W143" s="94"/>
      <c r="X143" s="94"/>
      <c r="Y143" s="94"/>
      <c r="Z143" s="94"/>
      <c r="AA143" s="94"/>
    </row>
    <row r="144" spans="1:27" ht="18" customHeight="1">
      <c r="A144" s="7" t="s">
        <v>377</v>
      </c>
      <c r="B144" s="7" t="s">
        <v>378</v>
      </c>
      <c r="C144" s="7">
        <v>42</v>
      </c>
      <c r="D144" s="7" t="s">
        <v>52</v>
      </c>
      <c r="E144" s="14" t="s">
        <v>76</v>
      </c>
      <c r="F144" s="7" t="s">
        <v>99</v>
      </c>
      <c r="G144" s="9">
        <v>44416</v>
      </c>
      <c r="H144" s="7" t="s">
        <v>90</v>
      </c>
      <c r="I144" s="7">
        <v>95747</v>
      </c>
      <c r="J144" s="7">
        <v>32885</v>
      </c>
      <c r="K144" s="7">
        <v>14715</v>
      </c>
      <c r="L144" s="7">
        <v>462</v>
      </c>
      <c r="M144" s="7">
        <v>2147</v>
      </c>
      <c r="N144" s="7">
        <v>141662</v>
      </c>
      <c r="O144" s="7">
        <v>23</v>
      </c>
      <c r="P144" s="7">
        <v>58</v>
      </c>
      <c r="Q144" s="7" t="s">
        <v>60</v>
      </c>
      <c r="R144" s="13" t="s">
        <v>67</v>
      </c>
      <c r="S144" s="94"/>
      <c r="T144" s="94"/>
      <c r="U144" s="94"/>
      <c r="V144" s="94"/>
      <c r="W144" s="94"/>
      <c r="X144" s="94"/>
      <c r="Y144" s="94"/>
      <c r="Z144" s="94"/>
      <c r="AA144" s="94"/>
    </row>
    <row r="145" spans="1:27" ht="18" customHeight="1">
      <c r="A145" s="4" t="s">
        <v>379</v>
      </c>
      <c r="B145" s="4" t="s">
        <v>380</v>
      </c>
      <c r="C145" s="4">
        <v>49</v>
      </c>
      <c r="D145" s="4" t="s">
        <v>52</v>
      </c>
      <c r="E145" s="13" t="s">
        <v>63</v>
      </c>
      <c r="F145" s="4" t="s">
        <v>102</v>
      </c>
      <c r="G145" s="12">
        <v>43056</v>
      </c>
      <c r="H145" s="4" t="s">
        <v>90</v>
      </c>
      <c r="I145" s="4">
        <v>53972</v>
      </c>
      <c r="J145" s="4">
        <v>20656</v>
      </c>
      <c r="K145" s="4">
        <v>6508</v>
      </c>
      <c r="L145" s="4">
        <v>499</v>
      </c>
      <c r="M145" s="4">
        <v>5560</v>
      </c>
      <c r="N145" s="4">
        <v>76075</v>
      </c>
      <c r="O145" s="4">
        <v>24</v>
      </c>
      <c r="P145" s="4">
        <v>96</v>
      </c>
      <c r="Q145" s="4" t="s">
        <v>66</v>
      </c>
      <c r="R145" s="6" t="s">
        <v>41</v>
      </c>
      <c r="S145" s="94"/>
      <c r="T145" s="94"/>
      <c r="U145" s="94"/>
      <c r="V145" s="94"/>
      <c r="W145" s="94"/>
      <c r="X145" s="94"/>
      <c r="Y145" s="94"/>
      <c r="Z145" s="94"/>
      <c r="AA145" s="94"/>
    </row>
    <row r="146" spans="1:27" ht="18" customHeight="1">
      <c r="A146" s="7" t="s">
        <v>381</v>
      </c>
      <c r="B146" s="7" t="s">
        <v>382</v>
      </c>
      <c r="C146" s="7">
        <v>41</v>
      </c>
      <c r="D146" s="7" t="s">
        <v>52</v>
      </c>
      <c r="E146" s="10" t="s">
        <v>58</v>
      </c>
      <c r="F146" s="7" t="s">
        <v>93</v>
      </c>
      <c r="G146" s="9">
        <v>44382</v>
      </c>
      <c r="H146" s="7" t="s">
        <v>78</v>
      </c>
      <c r="I146" s="7">
        <v>64306</v>
      </c>
      <c r="J146" s="7">
        <v>24134</v>
      </c>
      <c r="K146" s="7">
        <v>14360</v>
      </c>
      <c r="L146" s="7">
        <v>4406</v>
      </c>
      <c r="M146" s="7">
        <v>4879</v>
      </c>
      <c r="N146" s="7">
        <v>102327</v>
      </c>
      <c r="O146" s="7">
        <v>18</v>
      </c>
      <c r="P146" s="7">
        <v>94</v>
      </c>
      <c r="Q146" s="7" t="s">
        <v>66</v>
      </c>
      <c r="R146" s="10" t="s">
        <v>49</v>
      </c>
      <c r="S146" s="94"/>
      <c r="T146" s="94"/>
      <c r="U146" s="94"/>
      <c r="V146" s="94"/>
      <c r="W146" s="94"/>
      <c r="X146" s="94"/>
      <c r="Y146" s="94"/>
      <c r="Z146" s="94"/>
      <c r="AA146" s="94"/>
    </row>
    <row r="147" spans="1:27" ht="18" customHeight="1">
      <c r="A147" s="4" t="s">
        <v>383</v>
      </c>
      <c r="B147" s="4" t="s">
        <v>384</v>
      </c>
      <c r="C147" s="4">
        <v>45</v>
      </c>
      <c r="D147" s="4" t="s">
        <v>44</v>
      </c>
      <c r="E147" s="8" t="s">
        <v>45</v>
      </c>
      <c r="F147" s="4" t="s">
        <v>81</v>
      </c>
      <c r="G147" s="12">
        <v>44456</v>
      </c>
      <c r="H147" s="4" t="s">
        <v>55</v>
      </c>
      <c r="I147" s="4">
        <v>42575</v>
      </c>
      <c r="J147" s="4">
        <v>16080</v>
      </c>
      <c r="K147" s="4">
        <v>6177</v>
      </c>
      <c r="L147" s="4">
        <v>1665</v>
      </c>
      <c r="M147" s="4">
        <v>3705</v>
      </c>
      <c r="N147" s="4">
        <v>62792</v>
      </c>
      <c r="O147" s="4">
        <v>25</v>
      </c>
      <c r="P147" s="4">
        <v>45</v>
      </c>
      <c r="Q147" s="4" t="s">
        <v>40</v>
      </c>
      <c r="R147" s="13" t="s">
        <v>67</v>
      </c>
      <c r="S147" s="94"/>
      <c r="T147" s="94"/>
      <c r="U147" s="94"/>
      <c r="V147" s="94"/>
      <c r="W147" s="94"/>
      <c r="X147" s="94"/>
      <c r="Y147" s="94"/>
      <c r="Z147" s="94"/>
      <c r="AA147" s="94"/>
    </row>
    <row r="148" spans="1:27" ht="18" customHeight="1">
      <c r="A148" s="7" t="s">
        <v>385</v>
      </c>
      <c r="B148" s="7" t="s">
        <v>386</v>
      </c>
      <c r="C148" s="7">
        <v>41</v>
      </c>
      <c r="D148" s="7" t="s">
        <v>44</v>
      </c>
      <c r="E148" s="11" t="s">
        <v>53</v>
      </c>
      <c r="F148" s="7" t="s">
        <v>87</v>
      </c>
      <c r="G148" s="9">
        <v>42042</v>
      </c>
      <c r="H148" s="7" t="s">
        <v>55</v>
      </c>
      <c r="I148" s="7">
        <v>102015</v>
      </c>
      <c r="J148" s="7">
        <v>45382</v>
      </c>
      <c r="K148" s="7">
        <v>11156</v>
      </c>
      <c r="L148" s="7">
        <v>1777</v>
      </c>
      <c r="M148" s="7">
        <v>4927</v>
      </c>
      <c r="N148" s="7">
        <v>155403</v>
      </c>
      <c r="O148" s="7">
        <v>18</v>
      </c>
      <c r="P148" s="7">
        <v>95</v>
      </c>
      <c r="Q148" s="7" t="s">
        <v>40</v>
      </c>
      <c r="R148" s="6" t="s">
        <v>41</v>
      </c>
      <c r="S148" s="94"/>
      <c r="T148" s="94"/>
      <c r="U148" s="94"/>
      <c r="V148" s="94"/>
      <c r="W148" s="94"/>
      <c r="X148" s="94"/>
      <c r="Y148" s="94"/>
      <c r="Z148" s="94"/>
      <c r="AA148" s="94"/>
    </row>
    <row r="149" spans="1:27" ht="18" customHeight="1">
      <c r="A149" s="4" t="s">
        <v>387</v>
      </c>
      <c r="B149" s="4" t="s">
        <v>388</v>
      </c>
      <c r="C149" s="4">
        <v>44</v>
      </c>
      <c r="D149" s="4" t="s">
        <v>44</v>
      </c>
      <c r="E149" s="14" t="s">
        <v>76</v>
      </c>
      <c r="F149" s="4" t="s">
        <v>77</v>
      </c>
      <c r="G149" s="12">
        <v>43454</v>
      </c>
      <c r="H149" s="4" t="s">
        <v>65</v>
      </c>
      <c r="I149" s="4">
        <v>117244</v>
      </c>
      <c r="J149" s="4">
        <v>39969</v>
      </c>
      <c r="K149" s="4">
        <v>5921</v>
      </c>
      <c r="L149" s="4">
        <v>4522</v>
      </c>
      <c r="M149" s="4">
        <v>3634</v>
      </c>
      <c r="N149" s="4">
        <v>164022</v>
      </c>
      <c r="O149" s="4">
        <v>19</v>
      </c>
      <c r="P149" s="4">
        <v>64</v>
      </c>
      <c r="Q149" s="4" t="s">
        <v>66</v>
      </c>
      <c r="R149" s="6" t="s">
        <v>41</v>
      </c>
      <c r="S149" s="94"/>
      <c r="T149" s="94"/>
      <c r="U149" s="94"/>
      <c r="V149" s="94"/>
      <c r="W149" s="94"/>
      <c r="X149" s="94"/>
      <c r="Y149" s="94"/>
      <c r="Z149" s="94"/>
      <c r="AA149" s="94"/>
    </row>
    <row r="150" spans="1:27" ht="18" customHeight="1">
      <c r="A150" s="7" t="s">
        <v>389</v>
      </c>
      <c r="B150" s="7" t="s">
        <v>390</v>
      </c>
      <c r="C150" s="7">
        <v>38</v>
      </c>
      <c r="D150" s="7" t="s">
        <v>52</v>
      </c>
      <c r="E150" s="5" t="s">
        <v>111</v>
      </c>
      <c r="F150" s="7" t="s">
        <v>112</v>
      </c>
      <c r="G150" s="9">
        <v>44719</v>
      </c>
      <c r="H150" s="7" t="s">
        <v>90</v>
      </c>
      <c r="I150" s="7">
        <v>73589</v>
      </c>
      <c r="J150" s="7">
        <v>26682</v>
      </c>
      <c r="K150" s="7">
        <v>2749</v>
      </c>
      <c r="L150" s="7">
        <v>4608</v>
      </c>
      <c r="M150" s="7">
        <v>2812</v>
      </c>
      <c r="N150" s="7">
        <v>104816</v>
      </c>
      <c r="O150" s="7">
        <v>26</v>
      </c>
      <c r="P150" s="7">
        <v>49</v>
      </c>
      <c r="Q150" s="7" t="s">
        <v>66</v>
      </c>
      <c r="R150" s="13" t="s">
        <v>67</v>
      </c>
      <c r="S150" s="94"/>
      <c r="T150" s="94"/>
      <c r="U150" s="94"/>
      <c r="V150" s="94"/>
      <c r="W150" s="94"/>
      <c r="X150" s="94"/>
      <c r="Y150" s="94"/>
      <c r="Z150" s="94"/>
      <c r="AA150" s="94"/>
    </row>
    <row r="151" spans="1:27" ht="18" customHeight="1">
      <c r="A151" s="4" t="s">
        <v>391</v>
      </c>
      <c r="B151" s="4" t="s">
        <v>392</v>
      </c>
      <c r="C151" s="4">
        <v>38</v>
      </c>
      <c r="D151" s="4" t="s">
        <v>44</v>
      </c>
      <c r="E151" s="11" t="s">
        <v>53</v>
      </c>
      <c r="F151" s="4" t="s">
        <v>208</v>
      </c>
      <c r="G151" s="12">
        <v>43259</v>
      </c>
      <c r="H151" s="4" t="s">
        <v>78</v>
      </c>
      <c r="I151" s="4">
        <v>74786</v>
      </c>
      <c r="J151" s="4">
        <v>30958</v>
      </c>
      <c r="K151" s="4">
        <v>6026</v>
      </c>
      <c r="L151" s="4">
        <v>4090</v>
      </c>
      <c r="M151" s="4">
        <v>5510</v>
      </c>
      <c r="N151" s="4">
        <v>110350</v>
      </c>
      <c r="O151" s="4">
        <v>25</v>
      </c>
      <c r="P151" s="4">
        <v>100</v>
      </c>
      <c r="Q151" s="4" t="s">
        <v>66</v>
      </c>
      <c r="R151" s="6" t="s">
        <v>41</v>
      </c>
      <c r="S151" s="94"/>
      <c r="T151" s="94"/>
      <c r="U151" s="94"/>
      <c r="V151" s="94"/>
      <c r="W151" s="94"/>
      <c r="X151" s="94"/>
      <c r="Y151" s="94"/>
      <c r="Z151" s="94"/>
      <c r="AA151" s="94"/>
    </row>
    <row r="152" spans="1:27" ht="18" customHeight="1">
      <c r="A152" s="7" t="s">
        <v>393</v>
      </c>
      <c r="B152" s="7" t="s">
        <v>394</v>
      </c>
      <c r="C152" s="7">
        <v>26</v>
      </c>
      <c r="D152" s="7" t="s">
        <v>52</v>
      </c>
      <c r="E152" s="5" t="s">
        <v>111</v>
      </c>
      <c r="F152" s="7" t="s">
        <v>128</v>
      </c>
      <c r="G152" s="9">
        <v>43895</v>
      </c>
      <c r="H152" s="7" t="s">
        <v>78</v>
      </c>
      <c r="I152" s="7">
        <v>119412</v>
      </c>
      <c r="J152" s="7">
        <v>48876</v>
      </c>
      <c r="K152" s="7">
        <v>5015</v>
      </c>
      <c r="L152" s="7">
        <v>7511</v>
      </c>
      <c r="M152" s="7">
        <v>5441</v>
      </c>
      <c r="N152" s="7">
        <v>175373</v>
      </c>
      <c r="O152" s="7">
        <v>25</v>
      </c>
      <c r="P152" s="7">
        <v>43</v>
      </c>
      <c r="Q152" s="7" t="s">
        <v>40</v>
      </c>
      <c r="R152" s="10" t="s">
        <v>49</v>
      </c>
      <c r="S152" s="94"/>
      <c r="T152" s="94"/>
      <c r="U152" s="94"/>
      <c r="V152" s="94"/>
      <c r="W152" s="94"/>
      <c r="X152" s="94"/>
      <c r="Y152" s="94"/>
      <c r="Z152" s="94"/>
      <c r="AA152" s="94"/>
    </row>
    <row r="153" spans="1:27" ht="18" customHeight="1">
      <c r="A153" s="4" t="s">
        <v>395</v>
      </c>
      <c r="B153" s="4" t="s">
        <v>396</v>
      </c>
      <c r="C153" s="4">
        <v>53</v>
      </c>
      <c r="D153" s="4" t="s">
        <v>44</v>
      </c>
      <c r="E153" s="5" t="s">
        <v>36</v>
      </c>
      <c r="F153" s="4" t="s">
        <v>128</v>
      </c>
      <c r="G153" s="12">
        <v>43154</v>
      </c>
      <c r="H153" s="4" t="s">
        <v>185</v>
      </c>
      <c r="I153" s="4"/>
      <c r="J153" s="4">
        <v>13520</v>
      </c>
      <c r="K153" s="4">
        <v>10285</v>
      </c>
      <c r="L153" s="4">
        <v>3735</v>
      </c>
      <c r="M153" s="4">
        <v>4057</v>
      </c>
      <c r="N153" s="4"/>
      <c r="O153" s="4">
        <v>15</v>
      </c>
      <c r="P153" s="4">
        <v>79</v>
      </c>
      <c r="Q153" s="4" t="s">
        <v>66</v>
      </c>
      <c r="R153" s="6" t="s">
        <v>41</v>
      </c>
      <c r="S153" s="94"/>
      <c r="T153" s="94"/>
      <c r="U153" s="94"/>
      <c r="V153" s="94"/>
      <c r="W153" s="94"/>
      <c r="X153" s="94"/>
      <c r="Y153" s="94"/>
      <c r="Z153" s="94"/>
      <c r="AA153" s="94"/>
    </row>
    <row r="154" spans="1:27" ht="18" customHeight="1">
      <c r="A154" s="7" t="s">
        <v>397</v>
      </c>
      <c r="B154" s="7" t="s">
        <v>398</v>
      </c>
      <c r="C154" s="7">
        <v>33</v>
      </c>
      <c r="D154" s="7" t="s">
        <v>44</v>
      </c>
      <c r="E154" s="8" t="s">
        <v>45</v>
      </c>
      <c r="F154" s="7" t="s">
        <v>46</v>
      </c>
      <c r="G154" s="9">
        <v>45269</v>
      </c>
      <c r="H154" s="7" t="s">
        <v>55</v>
      </c>
      <c r="I154" s="7">
        <v>95220</v>
      </c>
      <c r="J154" s="7">
        <v>47181</v>
      </c>
      <c r="K154" s="7">
        <v>2280</v>
      </c>
      <c r="L154" s="7">
        <v>4114</v>
      </c>
      <c r="M154" s="7">
        <v>7661</v>
      </c>
      <c r="N154" s="7">
        <v>141134</v>
      </c>
      <c r="O154" s="7">
        <v>26</v>
      </c>
      <c r="P154" s="7">
        <v>83</v>
      </c>
      <c r="Q154" s="7" t="s">
        <v>73</v>
      </c>
      <c r="R154" s="6" t="s">
        <v>41</v>
      </c>
      <c r="S154" s="94"/>
      <c r="T154" s="94"/>
      <c r="U154" s="94"/>
      <c r="V154" s="94"/>
      <c r="W154" s="94"/>
      <c r="X154" s="94"/>
      <c r="Y154" s="94"/>
      <c r="Z154" s="94"/>
      <c r="AA154" s="94"/>
    </row>
    <row r="155" spans="1:27" ht="18" customHeight="1">
      <c r="A155" s="4" t="s">
        <v>399</v>
      </c>
      <c r="B155" s="4" t="s">
        <v>400</v>
      </c>
      <c r="C155" s="4">
        <v>41</v>
      </c>
      <c r="D155" s="4" t="s">
        <v>52</v>
      </c>
      <c r="E155" s="13" t="s">
        <v>63</v>
      </c>
      <c r="F155" s="4" t="s">
        <v>102</v>
      </c>
      <c r="G155" s="12">
        <v>43977</v>
      </c>
      <c r="H155" s="4" t="s">
        <v>47</v>
      </c>
      <c r="I155" s="4">
        <v>77022</v>
      </c>
      <c r="J155" s="4">
        <v>24324</v>
      </c>
      <c r="K155" s="4">
        <v>8652</v>
      </c>
      <c r="L155" s="4">
        <v>3760</v>
      </c>
      <c r="M155" s="4">
        <v>5628</v>
      </c>
      <c r="N155" s="4">
        <v>108130</v>
      </c>
      <c r="O155" s="4">
        <v>18</v>
      </c>
      <c r="P155" s="4">
        <v>84</v>
      </c>
      <c r="Q155" s="4" t="s">
        <v>40</v>
      </c>
      <c r="R155" s="6" t="s">
        <v>41</v>
      </c>
      <c r="S155" s="94"/>
      <c r="T155" s="94"/>
      <c r="U155" s="94"/>
      <c r="V155" s="94"/>
      <c r="W155" s="94"/>
      <c r="X155" s="94"/>
      <c r="Y155" s="94"/>
      <c r="Z155" s="94"/>
      <c r="AA155" s="94"/>
    </row>
    <row r="156" spans="1:27" ht="18" customHeight="1">
      <c r="A156" s="7" t="s">
        <v>401</v>
      </c>
      <c r="B156" s="7" t="s">
        <v>402</v>
      </c>
      <c r="C156" s="7">
        <v>43</v>
      </c>
      <c r="D156" s="7" t="s">
        <v>44</v>
      </c>
      <c r="E156" s="8" t="s">
        <v>45</v>
      </c>
      <c r="F156" s="7" t="s">
        <v>81</v>
      </c>
      <c r="G156" s="9">
        <v>44395</v>
      </c>
      <c r="H156" s="7" t="s">
        <v>90</v>
      </c>
      <c r="I156" s="7">
        <v>87390</v>
      </c>
      <c r="J156" s="7">
        <v>27198</v>
      </c>
      <c r="K156" s="7">
        <v>2154</v>
      </c>
      <c r="L156" s="7">
        <v>5757</v>
      </c>
      <c r="M156" s="7">
        <v>2403</v>
      </c>
      <c r="N156" s="7">
        <v>120096</v>
      </c>
      <c r="O156" s="7">
        <v>16</v>
      </c>
      <c r="P156" s="7">
        <v>71</v>
      </c>
      <c r="Q156" s="7" t="s">
        <v>73</v>
      </c>
      <c r="R156" s="6" t="s">
        <v>41</v>
      </c>
      <c r="S156" s="94"/>
      <c r="T156" s="94"/>
      <c r="U156" s="94"/>
      <c r="V156" s="94"/>
      <c r="W156" s="94"/>
      <c r="X156" s="94"/>
      <c r="Y156" s="94"/>
      <c r="Z156" s="94"/>
      <c r="AA156" s="94"/>
    </row>
    <row r="157" spans="1:27" ht="18" customHeight="1">
      <c r="A157" s="4" t="s">
        <v>403</v>
      </c>
      <c r="B157" s="4" t="s">
        <v>404</v>
      </c>
      <c r="C157" s="4">
        <v>23</v>
      </c>
      <c r="D157" s="4" t="s">
        <v>44</v>
      </c>
      <c r="E157" s="13" t="s">
        <v>63</v>
      </c>
      <c r="F157" s="4" t="s">
        <v>115</v>
      </c>
      <c r="G157" s="12">
        <v>43468</v>
      </c>
      <c r="H157" s="4" t="s">
        <v>196</v>
      </c>
      <c r="I157" s="4">
        <v>114709</v>
      </c>
      <c r="J157" s="4">
        <v>55647</v>
      </c>
      <c r="K157" s="4">
        <v>10897</v>
      </c>
      <c r="L157" s="4">
        <v>4616</v>
      </c>
      <c r="M157" s="4">
        <v>6391</v>
      </c>
      <c r="N157" s="4">
        <v>179478</v>
      </c>
      <c r="O157" s="4">
        <v>15</v>
      </c>
      <c r="P157" s="4">
        <v>51</v>
      </c>
      <c r="Q157" s="4" t="s">
        <v>66</v>
      </c>
      <c r="R157" s="13" t="s">
        <v>67</v>
      </c>
      <c r="S157" s="94"/>
      <c r="T157" s="94"/>
      <c r="U157" s="94"/>
      <c r="V157" s="94"/>
      <c r="W157" s="94"/>
      <c r="X157" s="94"/>
      <c r="Y157" s="94"/>
      <c r="Z157" s="94"/>
      <c r="AA157" s="94"/>
    </row>
    <row r="158" spans="1:27" ht="18" customHeight="1">
      <c r="A158" s="7" t="s">
        <v>405</v>
      </c>
      <c r="B158" s="7" t="s">
        <v>406</v>
      </c>
      <c r="C158" s="7">
        <v>27</v>
      </c>
      <c r="D158" s="7" t="s">
        <v>52</v>
      </c>
      <c r="E158" s="8" t="s">
        <v>45</v>
      </c>
      <c r="F158" s="7" t="s">
        <v>108</v>
      </c>
      <c r="G158" s="9">
        <v>43016</v>
      </c>
      <c r="H158" s="7" t="s">
        <v>90</v>
      </c>
      <c r="I158" s="7">
        <v>99277</v>
      </c>
      <c r="J158" s="7">
        <v>46355</v>
      </c>
      <c r="K158" s="7">
        <v>8375</v>
      </c>
      <c r="L158" s="7">
        <v>5546</v>
      </c>
      <c r="M158" s="7">
        <v>5428</v>
      </c>
      <c r="N158" s="7">
        <v>154125</v>
      </c>
      <c r="O158" s="7">
        <v>20</v>
      </c>
      <c r="P158" s="7">
        <v>64</v>
      </c>
      <c r="Q158" s="7" t="s">
        <v>40</v>
      </c>
      <c r="R158" s="10" t="s">
        <v>49</v>
      </c>
      <c r="S158" s="94"/>
      <c r="T158" s="94"/>
      <c r="U158" s="94"/>
      <c r="V158" s="94"/>
      <c r="W158" s="94"/>
      <c r="X158" s="94"/>
      <c r="Y158" s="94"/>
      <c r="Z158" s="94"/>
      <c r="AA158" s="94"/>
    </row>
    <row r="159" spans="1:27" ht="18" customHeight="1">
      <c r="A159" s="4" t="s">
        <v>407</v>
      </c>
      <c r="B159" s="4" t="s">
        <v>408</v>
      </c>
      <c r="C159" s="4">
        <v>50</v>
      </c>
      <c r="D159" s="4" t="s">
        <v>44</v>
      </c>
      <c r="E159" s="5" t="s">
        <v>111</v>
      </c>
      <c r="F159" s="4" t="s">
        <v>128</v>
      </c>
      <c r="G159" s="12">
        <v>42541</v>
      </c>
      <c r="H159" s="4" t="s">
        <v>84</v>
      </c>
      <c r="I159" s="4">
        <v>105460</v>
      </c>
      <c r="J159" s="4">
        <v>51778</v>
      </c>
      <c r="K159" s="4">
        <v>8499</v>
      </c>
      <c r="L159" s="4">
        <v>7937</v>
      </c>
      <c r="M159" s="4">
        <v>7336</v>
      </c>
      <c r="N159" s="4">
        <v>166338</v>
      </c>
      <c r="O159" s="4">
        <v>20</v>
      </c>
      <c r="P159" s="4">
        <v>41</v>
      </c>
      <c r="Q159" s="4" t="s">
        <v>66</v>
      </c>
      <c r="R159" s="6" t="s">
        <v>41</v>
      </c>
      <c r="S159" s="94"/>
      <c r="T159" s="94"/>
      <c r="U159" s="94"/>
      <c r="V159" s="94"/>
      <c r="W159" s="94"/>
      <c r="X159" s="94"/>
      <c r="Y159" s="94"/>
      <c r="Z159" s="94"/>
      <c r="AA159" s="94"/>
    </row>
    <row r="160" spans="1:27" ht="18" customHeight="1">
      <c r="A160" s="7" t="s">
        <v>409</v>
      </c>
      <c r="B160" s="7" t="s">
        <v>410</v>
      </c>
      <c r="C160" s="7">
        <v>46</v>
      </c>
      <c r="D160" s="7" t="s">
        <v>52</v>
      </c>
      <c r="E160" s="5" t="s">
        <v>111</v>
      </c>
      <c r="F160" s="7" t="s">
        <v>128</v>
      </c>
      <c r="G160" s="9">
        <v>44252</v>
      </c>
      <c r="H160" s="7" t="s">
        <v>47</v>
      </c>
      <c r="I160" s="7">
        <v>106083</v>
      </c>
      <c r="J160" s="7">
        <v>38092</v>
      </c>
      <c r="K160" s="7">
        <v>6037</v>
      </c>
      <c r="L160" s="7">
        <v>5841</v>
      </c>
      <c r="M160" s="7">
        <v>1602</v>
      </c>
      <c r="N160" s="7">
        <v>154451</v>
      </c>
      <c r="O160" s="7">
        <v>16</v>
      </c>
      <c r="P160" s="7">
        <v>57</v>
      </c>
      <c r="Q160" s="7" t="s">
        <v>66</v>
      </c>
      <c r="R160" s="10" t="s">
        <v>49</v>
      </c>
      <c r="S160" s="94"/>
      <c r="T160" s="94"/>
      <c r="U160" s="94"/>
      <c r="V160" s="94"/>
      <c r="W160" s="94"/>
      <c r="X160" s="94"/>
      <c r="Y160" s="94"/>
      <c r="Z160" s="94"/>
      <c r="AA160" s="94"/>
    </row>
    <row r="161" spans="1:27" ht="18" customHeight="1">
      <c r="A161" s="4" t="s">
        <v>411</v>
      </c>
      <c r="B161" s="4" t="s">
        <v>412</v>
      </c>
      <c r="C161" s="4">
        <v>49</v>
      </c>
      <c r="D161" s="4" t="s">
        <v>52</v>
      </c>
      <c r="E161" s="11" t="s">
        <v>53</v>
      </c>
      <c r="F161" s="4" t="s">
        <v>54</v>
      </c>
      <c r="G161" s="12">
        <v>42401</v>
      </c>
      <c r="H161" s="4" t="s">
        <v>84</v>
      </c>
      <c r="I161" s="4">
        <v>65405</v>
      </c>
      <c r="J161" s="4">
        <v>25439</v>
      </c>
      <c r="K161" s="4">
        <v>14473</v>
      </c>
      <c r="L161" s="4">
        <v>2209</v>
      </c>
      <c r="M161" s="4">
        <v>1837</v>
      </c>
      <c r="N161" s="4">
        <v>105689</v>
      </c>
      <c r="O161" s="4">
        <v>17</v>
      </c>
      <c r="P161" s="4">
        <v>45</v>
      </c>
      <c r="Q161" s="4" t="s">
        <v>66</v>
      </c>
      <c r="R161" s="13" t="s">
        <v>67</v>
      </c>
      <c r="S161" s="94"/>
      <c r="T161" s="94"/>
      <c r="U161" s="94"/>
      <c r="V161" s="94"/>
      <c r="W161" s="94"/>
      <c r="X161" s="94"/>
      <c r="Y161" s="94"/>
      <c r="Z161" s="94"/>
      <c r="AA161" s="94"/>
    </row>
    <row r="162" spans="1:27" ht="18" customHeight="1">
      <c r="A162" s="7" t="s">
        <v>413</v>
      </c>
      <c r="B162" s="7" t="s">
        <v>414</v>
      </c>
      <c r="C162" s="7">
        <v>46</v>
      </c>
      <c r="D162" s="7" t="s">
        <v>44</v>
      </c>
      <c r="E162" s="8" t="s">
        <v>45</v>
      </c>
      <c r="F162" s="7" t="s">
        <v>46</v>
      </c>
      <c r="G162" s="9">
        <v>42539</v>
      </c>
      <c r="H162" s="7" t="s">
        <v>78</v>
      </c>
      <c r="I162" s="7">
        <v>37198</v>
      </c>
      <c r="J162" s="7">
        <v>15600</v>
      </c>
      <c r="K162" s="7">
        <v>14852</v>
      </c>
      <c r="L162" s="7">
        <v>2657</v>
      </c>
      <c r="M162" s="7">
        <v>4155</v>
      </c>
      <c r="N162" s="7">
        <v>66152</v>
      </c>
      <c r="O162" s="7">
        <v>15</v>
      </c>
      <c r="P162" s="7">
        <v>58</v>
      </c>
      <c r="Q162" s="7" t="s">
        <v>73</v>
      </c>
      <c r="R162" s="6" t="s">
        <v>41</v>
      </c>
      <c r="S162" s="94"/>
      <c r="T162" s="94"/>
      <c r="U162" s="94"/>
      <c r="V162" s="94"/>
      <c r="W162" s="94"/>
      <c r="X162" s="94"/>
      <c r="Y162" s="94"/>
      <c r="Z162" s="94"/>
      <c r="AA162" s="94"/>
    </row>
    <row r="163" spans="1:27" ht="18" customHeight="1">
      <c r="A163" s="4" t="s">
        <v>415</v>
      </c>
      <c r="B163" s="4" t="s">
        <v>416</v>
      </c>
      <c r="C163" s="4">
        <v>48</v>
      </c>
      <c r="D163" s="4" t="s">
        <v>35</v>
      </c>
      <c r="E163" s="10" t="s">
        <v>58</v>
      </c>
      <c r="F163" s="4" t="s">
        <v>59</v>
      </c>
      <c r="G163" s="4" t="s">
        <v>417</v>
      </c>
      <c r="H163" s="4" t="s">
        <v>65</v>
      </c>
      <c r="I163" s="4">
        <v>60247</v>
      </c>
      <c r="J163" s="4">
        <v>21703</v>
      </c>
      <c r="K163" s="4">
        <v>10079</v>
      </c>
      <c r="L163" s="4">
        <v>1195</v>
      </c>
      <c r="M163" s="4">
        <v>1518</v>
      </c>
      <c r="N163" s="4">
        <v>91706</v>
      </c>
      <c r="O163" s="4">
        <v>17</v>
      </c>
      <c r="P163" s="4">
        <v>67</v>
      </c>
      <c r="Q163" s="4" t="s">
        <v>60</v>
      </c>
      <c r="R163" s="6" t="s">
        <v>41</v>
      </c>
      <c r="S163" s="94"/>
      <c r="T163" s="94"/>
      <c r="U163" s="94"/>
      <c r="V163" s="94"/>
      <c r="W163" s="94"/>
      <c r="X163" s="94"/>
      <c r="Y163" s="94"/>
      <c r="Z163" s="94"/>
      <c r="AA163" s="94"/>
    </row>
    <row r="164" spans="1:27" ht="18" customHeight="1">
      <c r="A164" s="7" t="s">
        <v>418</v>
      </c>
      <c r="B164" s="7" t="s">
        <v>419</v>
      </c>
      <c r="C164" s="7">
        <v>43</v>
      </c>
      <c r="D164" s="7" t="s">
        <v>44</v>
      </c>
      <c r="E164" s="11" t="s">
        <v>53</v>
      </c>
      <c r="F164" s="7" t="s">
        <v>208</v>
      </c>
      <c r="G164" s="9">
        <v>44854</v>
      </c>
      <c r="H164" s="7" t="s">
        <v>84</v>
      </c>
      <c r="I164" s="7">
        <v>50630</v>
      </c>
      <c r="J164" s="7">
        <v>19825</v>
      </c>
      <c r="K164" s="7">
        <v>4219</v>
      </c>
      <c r="L164" s="7">
        <v>2495</v>
      </c>
      <c r="M164" s="7">
        <v>1055</v>
      </c>
      <c r="N164" s="7">
        <v>76114</v>
      </c>
      <c r="O164" s="7">
        <v>21</v>
      </c>
      <c r="P164" s="7">
        <v>61</v>
      </c>
      <c r="Q164" s="7" t="s">
        <v>48</v>
      </c>
      <c r="R164" s="6" t="s">
        <v>41</v>
      </c>
      <c r="S164" s="94"/>
      <c r="T164" s="94"/>
      <c r="U164" s="94"/>
      <c r="V164" s="94"/>
      <c r="W164" s="94"/>
      <c r="X164" s="94"/>
      <c r="Y164" s="94"/>
      <c r="Z164" s="94"/>
      <c r="AA164" s="94"/>
    </row>
    <row r="165" spans="1:27" ht="18" customHeight="1">
      <c r="A165" s="4" t="s">
        <v>420</v>
      </c>
      <c r="B165" s="4" t="s">
        <v>191</v>
      </c>
      <c r="C165" s="4">
        <v>37</v>
      </c>
      <c r="D165" s="4" t="s">
        <v>44</v>
      </c>
      <c r="E165" s="13" t="s">
        <v>63</v>
      </c>
      <c r="F165" s="4" t="s">
        <v>102</v>
      </c>
      <c r="G165" s="12">
        <v>44127</v>
      </c>
      <c r="H165" s="4" t="s">
        <v>65</v>
      </c>
      <c r="I165" s="4">
        <v>51326</v>
      </c>
      <c r="J165" s="4">
        <v>20315</v>
      </c>
      <c r="K165" s="4">
        <v>4910</v>
      </c>
      <c r="L165" s="4">
        <v>7901</v>
      </c>
      <c r="M165" s="4">
        <v>4262</v>
      </c>
      <c r="N165" s="4">
        <v>80190</v>
      </c>
      <c r="O165" s="4">
        <v>20</v>
      </c>
      <c r="P165" s="4">
        <v>58</v>
      </c>
      <c r="Q165" s="4" t="s">
        <v>66</v>
      </c>
      <c r="R165" s="6" t="s">
        <v>41</v>
      </c>
      <c r="S165" s="94"/>
      <c r="T165" s="94"/>
      <c r="U165" s="94"/>
      <c r="V165" s="94"/>
      <c r="W165" s="94"/>
      <c r="X165" s="94"/>
      <c r="Y165" s="94"/>
      <c r="Z165" s="94"/>
      <c r="AA165" s="94"/>
    </row>
    <row r="166" spans="1:27" ht="18" customHeight="1">
      <c r="A166" s="7" t="s">
        <v>421</v>
      </c>
      <c r="B166" s="7" t="s">
        <v>422</v>
      </c>
      <c r="C166" s="7">
        <v>50</v>
      </c>
      <c r="D166" s="7" t="s">
        <v>52</v>
      </c>
      <c r="E166" s="11" t="s">
        <v>53</v>
      </c>
      <c r="F166" s="7" t="s">
        <v>118</v>
      </c>
      <c r="G166" s="9">
        <v>43391</v>
      </c>
      <c r="H166" s="7" t="s">
        <v>78</v>
      </c>
      <c r="I166" s="7">
        <v>48583</v>
      </c>
      <c r="J166" s="7">
        <v>21199</v>
      </c>
      <c r="K166" s="7">
        <v>11012</v>
      </c>
      <c r="L166" s="7">
        <v>220</v>
      </c>
      <c r="M166" s="7">
        <v>6957</v>
      </c>
      <c r="N166" s="7">
        <v>74057</v>
      </c>
      <c r="O166" s="7">
        <v>22</v>
      </c>
      <c r="P166" s="7">
        <v>100</v>
      </c>
      <c r="Q166" s="7" t="s">
        <v>40</v>
      </c>
      <c r="R166" s="6" t="s">
        <v>41</v>
      </c>
      <c r="S166" s="94"/>
      <c r="T166" s="94"/>
      <c r="U166" s="94"/>
      <c r="V166" s="94"/>
      <c r="W166" s="94"/>
      <c r="X166" s="94"/>
      <c r="Y166" s="94"/>
      <c r="Z166" s="94"/>
      <c r="AA166" s="94"/>
    </row>
    <row r="167" spans="1:27" ht="18" customHeight="1">
      <c r="A167" s="4" t="s">
        <v>423</v>
      </c>
      <c r="B167" s="4" t="s">
        <v>424</v>
      </c>
      <c r="C167" s="4">
        <v>52</v>
      </c>
      <c r="D167" s="4" t="s">
        <v>44</v>
      </c>
      <c r="E167" s="5" t="s">
        <v>111</v>
      </c>
      <c r="F167" s="4" t="s">
        <v>37</v>
      </c>
      <c r="G167" s="12">
        <v>43049</v>
      </c>
      <c r="H167" s="4" t="s">
        <v>90</v>
      </c>
      <c r="I167" s="4">
        <v>56722</v>
      </c>
      <c r="J167" s="4">
        <v>19883</v>
      </c>
      <c r="K167" s="4">
        <v>4525</v>
      </c>
      <c r="L167" s="4">
        <v>5859</v>
      </c>
      <c r="M167" s="4">
        <v>4466</v>
      </c>
      <c r="N167" s="4">
        <v>82523</v>
      </c>
      <c r="O167" s="4">
        <v>21</v>
      </c>
      <c r="P167" s="4">
        <v>44</v>
      </c>
      <c r="Q167" s="4" t="s">
        <v>66</v>
      </c>
      <c r="R167" s="6" t="s">
        <v>41</v>
      </c>
      <c r="S167" s="94"/>
      <c r="T167" s="94"/>
      <c r="U167" s="94"/>
      <c r="V167" s="94"/>
      <c r="W167" s="94"/>
      <c r="X167" s="94"/>
      <c r="Y167" s="94"/>
      <c r="Z167" s="94"/>
      <c r="AA167" s="94"/>
    </row>
    <row r="168" spans="1:27" ht="18" customHeight="1">
      <c r="A168" s="7" t="s">
        <v>425</v>
      </c>
      <c r="B168" s="7" t="s">
        <v>426</v>
      </c>
      <c r="C168" s="7">
        <v>32</v>
      </c>
      <c r="D168" s="7" t="s">
        <v>44</v>
      </c>
      <c r="E168" s="10" t="s">
        <v>58</v>
      </c>
      <c r="F168" s="7" t="s">
        <v>96</v>
      </c>
      <c r="G168" s="9">
        <v>44191</v>
      </c>
      <c r="H168" s="7" t="s">
        <v>47</v>
      </c>
      <c r="I168" s="7">
        <v>95373</v>
      </c>
      <c r="J168" s="7">
        <v>39939</v>
      </c>
      <c r="K168" s="7">
        <v>3392</v>
      </c>
      <c r="L168" s="7">
        <v>895</v>
      </c>
      <c r="M168" s="7">
        <v>7299</v>
      </c>
      <c r="N168" s="7">
        <v>132300</v>
      </c>
      <c r="O168" s="7">
        <v>18</v>
      </c>
      <c r="P168" s="7">
        <v>82</v>
      </c>
      <c r="Q168" s="7" t="s">
        <v>66</v>
      </c>
      <c r="R168" s="13" t="s">
        <v>67</v>
      </c>
      <c r="S168" s="94"/>
      <c r="T168" s="94"/>
      <c r="U168" s="94"/>
      <c r="V168" s="94"/>
      <c r="W168" s="94"/>
      <c r="X168" s="94"/>
      <c r="Y168" s="94"/>
      <c r="Z168" s="94"/>
      <c r="AA168" s="94"/>
    </row>
    <row r="169" spans="1:27" ht="18" customHeight="1">
      <c r="A169" s="4" t="s">
        <v>427</v>
      </c>
      <c r="B169" s="4" t="s">
        <v>428</v>
      </c>
      <c r="C169" s="4">
        <v>50</v>
      </c>
      <c r="D169" s="4" t="s">
        <v>52</v>
      </c>
      <c r="E169" s="11" t="s">
        <v>53</v>
      </c>
      <c r="F169" s="4" t="s">
        <v>87</v>
      </c>
      <c r="G169" s="12">
        <v>42373</v>
      </c>
      <c r="H169" s="4" t="s">
        <v>65</v>
      </c>
      <c r="I169" s="4">
        <v>58913</v>
      </c>
      <c r="J169" s="4">
        <v>20290</v>
      </c>
      <c r="K169" s="4">
        <v>14236</v>
      </c>
      <c r="L169" s="4">
        <v>4249</v>
      </c>
      <c r="M169" s="4">
        <v>5571</v>
      </c>
      <c r="N169" s="4">
        <v>92117</v>
      </c>
      <c r="O169" s="4">
        <v>24</v>
      </c>
      <c r="P169" s="4">
        <v>84</v>
      </c>
      <c r="Q169" s="4" t="s">
        <v>48</v>
      </c>
      <c r="R169" s="6" t="s">
        <v>41</v>
      </c>
      <c r="S169" s="94"/>
      <c r="T169" s="94"/>
      <c r="U169" s="94"/>
      <c r="V169" s="94"/>
      <c r="W169" s="94"/>
      <c r="X169" s="94"/>
      <c r="Y169" s="94"/>
      <c r="Z169" s="94"/>
      <c r="AA169" s="94"/>
    </row>
    <row r="170" spans="1:27" ht="18" customHeight="1">
      <c r="A170" s="7" t="s">
        <v>429</v>
      </c>
      <c r="B170" s="7" t="s">
        <v>430</v>
      </c>
      <c r="C170" s="7">
        <v>41</v>
      </c>
      <c r="D170" s="7" t="s">
        <v>44</v>
      </c>
      <c r="E170" s="14" t="s">
        <v>76</v>
      </c>
      <c r="F170" s="7" t="s">
        <v>154</v>
      </c>
      <c r="G170" s="9">
        <v>43846</v>
      </c>
      <c r="H170" s="7" t="s">
        <v>65</v>
      </c>
      <c r="I170" s="7">
        <v>38703</v>
      </c>
      <c r="J170" s="7">
        <v>13898</v>
      </c>
      <c r="K170" s="7">
        <v>3406</v>
      </c>
      <c r="L170" s="7">
        <v>950</v>
      </c>
      <c r="M170" s="7">
        <v>7810</v>
      </c>
      <c r="N170" s="7">
        <v>49147</v>
      </c>
      <c r="O170" s="7">
        <v>26</v>
      </c>
      <c r="P170" s="7">
        <v>49</v>
      </c>
      <c r="Q170" s="7" t="s">
        <v>48</v>
      </c>
      <c r="R170" s="6" t="s">
        <v>41</v>
      </c>
      <c r="S170" s="94"/>
      <c r="T170" s="94"/>
      <c r="U170" s="94"/>
      <c r="V170" s="94"/>
      <c r="W170" s="94"/>
      <c r="X170" s="94"/>
      <c r="Y170" s="94"/>
      <c r="Z170" s="94"/>
      <c r="AA170" s="94"/>
    </row>
    <row r="171" spans="1:27" ht="18" customHeight="1">
      <c r="A171" s="4" t="s">
        <v>431</v>
      </c>
      <c r="B171" s="4" t="s">
        <v>432</v>
      </c>
      <c r="C171" s="4">
        <v>23</v>
      </c>
      <c r="D171" s="4" t="s">
        <v>52</v>
      </c>
      <c r="E171" s="5" t="s">
        <v>111</v>
      </c>
      <c r="F171" s="4" t="s">
        <v>217</v>
      </c>
      <c r="G171" s="12">
        <v>44607</v>
      </c>
      <c r="H171" s="4" t="s">
        <v>78</v>
      </c>
      <c r="I171" s="4">
        <v>119633</v>
      </c>
      <c r="J171" s="4">
        <v>52561</v>
      </c>
      <c r="K171" s="4">
        <v>7225</v>
      </c>
      <c r="L171" s="4">
        <v>550</v>
      </c>
      <c r="M171" s="4">
        <v>3459</v>
      </c>
      <c r="N171" s="4">
        <v>176510</v>
      </c>
      <c r="O171" s="4">
        <v>15</v>
      </c>
      <c r="P171" s="4">
        <v>91</v>
      </c>
      <c r="Q171" s="4" t="s">
        <v>73</v>
      </c>
      <c r="R171" s="6" t="s">
        <v>41</v>
      </c>
      <c r="S171" s="94"/>
      <c r="T171" s="94"/>
      <c r="U171" s="94"/>
      <c r="V171" s="94"/>
      <c r="W171" s="94"/>
      <c r="X171" s="94"/>
      <c r="Y171" s="94"/>
      <c r="Z171" s="94"/>
      <c r="AA171" s="94"/>
    </row>
    <row r="172" spans="1:27" ht="18" customHeight="1">
      <c r="A172" s="7" t="s">
        <v>433</v>
      </c>
      <c r="B172" s="7" t="s">
        <v>434</v>
      </c>
      <c r="C172" s="7">
        <v>33</v>
      </c>
      <c r="D172" s="7" t="s">
        <v>44</v>
      </c>
      <c r="E172" s="14" t="s">
        <v>76</v>
      </c>
      <c r="F172" s="7" t="s">
        <v>154</v>
      </c>
      <c r="G172" s="9">
        <v>45003</v>
      </c>
      <c r="H172" s="7" t="s">
        <v>196</v>
      </c>
      <c r="I172" s="7">
        <v>45989</v>
      </c>
      <c r="J172" s="7">
        <v>16841</v>
      </c>
      <c r="K172" s="7">
        <v>8985</v>
      </c>
      <c r="L172" s="7">
        <v>7851</v>
      </c>
      <c r="M172" s="7">
        <v>4785</v>
      </c>
      <c r="N172" s="7">
        <v>74881</v>
      </c>
      <c r="O172" s="7">
        <v>18</v>
      </c>
      <c r="P172" s="7">
        <v>91</v>
      </c>
      <c r="Q172" s="7" t="s">
        <v>66</v>
      </c>
      <c r="R172" s="10" t="s">
        <v>49</v>
      </c>
      <c r="S172" s="94"/>
      <c r="T172" s="94"/>
      <c r="U172" s="94"/>
      <c r="V172" s="94"/>
      <c r="W172" s="94"/>
      <c r="X172" s="94"/>
      <c r="Y172" s="94"/>
      <c r="Z172" s="94"/>
      <c r="AA172" s="94"/>
    </row>
    <row r="173" spans="1:27" ht="18" customHeight="1">
      <c r="A173" s="4" t="s">
        <v>435</v>
      </c>
      <c r="B173" s="4" t="s">
        <v>436</v>
      </c>
      <c r="C173" s="4">
        <v>28</v>
      </c>
      <c r="D173" s="4" t="s">
        <v>52</v>
      </c>
      <c r="E173" s="8" t="s">
        <v>45</v>
      </c>
      <c r="F173" s="4" t="s">
        <v>306</v>
      </c>
      <c r="G173" s="12">
        <v>44848</v>
      </c>
      <c r="H173" s="4" t="s">
        <v>78</v>
      </c>
      <c r="I173" s="4">
        <v>75965</v>
      </c>
      <c r="J173" s="4">
        <v>22857</v>
      </c>
      <c r="K173" s="4">
        <v>5519</v>
      </c>
      <c r="L173" s="4">
        <v>1685</v>
      </c>
      <c r="M173" s="4">
        <v>3280</v>
      </c>
      <c r="N173" s="4">
        <v>102746</v>
      </c>
      <c r="O173" s="4">
        <v>26</v>
      </c>
      <c r="P173" s="4">
        <v>91</v>
      </c>
      <c r="Q173" s="4" t="s">
        <v>60</v>
      </c>
      <c r="R173" s="13" t="s">
        <v>67</v>
      </c>
      <c r="S173" s="94"/>
      <c r="T173" s="94"/>
      <c r="U173" s="94"/>
      <c r="V173" s="94"/>
      <c r="W173" s="94"/>
      <c r="X173" s="94"/>
      <c r="Y173" s="94"/>
      <c r="Z173" s="94"/>
      <c r="AA173" s="94"/>
    </row>
    <row r="174" spans="1:27" ht="18" customHeight="1">
      <c r="A174" s="7" t="s">
        <v>437</v>
      </c>
      <c r="B174" s="7" t="s">
        <v>438</v>
      </c>
      <c r="C174" s="7">
        <v>29</v>
      </c>
      <c r="D174" s="7" t="s">
        <v>44</v>
      </c>
      <c r="E174" s="13" t="s">
        <v>63</v>
      </c>
      <c r="F174" s="7" t="s">
        <v>115</v>
      </c>
      <c r="G174" s="9">
        <v>42512</v>
      </c>
      <c r="H174" s="7" t="s">
        <v>65</v>
      </c>
      <c r="I174" s="7">
        <v>89157</v>
      </c>
      <c r="J174" s="7">
        <v>36157</v>
      </c>
      <c r="K174" s="7">
        <v>12471</v>
      </c>
      <c r="L174" s="7">
        <v>2567</v>
      </c>
      <c r="M174" s="7">
        <v>5890</v>
      </c>
      <c r="N174" s="7">
        <v>134462</v>
      </c>
      <c r="O174" s="7">
        <v>21</v>
      </c>
      <c r="P174" s="7">
        <v>79</v>
      </c>
      <c r="Q174" s="7" t="s">
        <v>48</v>
      </c>
      <c r="R174" s="6" t="s">
        <v>41</v>
      </c>
      <c r="S174" s="94"/>
      <c r="T174" s="94"/>
      <c r="U174" s="94"/>
      <c r="V174" s="94"/>
      <c r="W174" s="94"/>
      <c r="X174" s="94"/>
      <c r="Y174" s="94"/>
      <c r="Z174" s="94"/>
      <c r="AA174" s="94"/>
    </row>
    <row r="175" spans="1:27" ht="18" customHeight="1">
      <c r="A175" s="4" t="s">
        <v>439</v>
      </c>
      <c r="B175" s="4" t="s">
        <v>440</v>
      </c>
      <c r="C175" s="4">
        <v>54</v>
      </c>
      <c r="D175" s="4" t="s">
        <v>52</v>
      </c>
      <c r="E175" s="13" t="s">
        <v>63</v>
      </c>
      <c r="F175" s="4" t="s">
        <v>102</v>
      </c>
      <c r="G175" s="12">
        <v>42679</v>
      </c>
      <c r="H175" s="4" t="s">
        <v>84</v>
      </c>
      <c r="I175" s="4">
        <v>66049</v>
      </c>
      <c r="J175" s="4">
        <v>21372</v>
      </c>
      <c r="K175" s="4">
        <v>7003</v>
      </c>
      <c r="L175" s="4">
        <v>958</v>
      </c>
      <c r="M175" s="4">
        <v>2499</v>
      </c>
      <c r="N175" s="4">
        <v>92883</v>
      </c>
      <c r="O175" s="4">
        <v>20</v>
      </c>
      <c r="P175" s="4">
        <v>84</v>
      </c>
      <c r="Q175" s="4" t="s">
        <v>48</v>
      </c>
      <c r="R175" s="6" t="s">
        <v>41</v>
      </c>
      <c r="S175" s="94"/>
      <c r="T175" s="94"/>
      <c r="U175" s="94"/>
      <c r="V175" s="94"/>
      <c r="W175" s="94"/>
      <c r="X175" s="94"/>
      <c r="Y175" s="94"/>
      <c r="Z175" s="94"/>
      <c r="AA175" s="94"/>
    </row>
    <row r="176" spans="1:27" ht="18" customHeight="1">
      <c r="A176" s="7" t="s">
        <v>441</v>
      </c>
      <c r="B176" s="7" t="s">
        <v>442</v>
      </c>
      <c r="C176" s="7">
        <v>40</v>
      </c>
      <c r="D176" s="7" t="s">
        <v>44</v>
      </c>
      <c r="E176" s="5" t="s">
        <v>111</v>
      </c>
      <c r="F176" s="7" t="s">
        <v>37</v>
      </c>
      <c r="G176" s="9">
        <v>42968</v>
      </c>
      <c r="H176" s="7" t="s">
        <v>196</v>
      </c>
      <c r="I176" s="7">
        <v>95435</v>
      </c>
      <c r="J176" s="7">
        <v>41866</v>
      </c>
      <c r="K176" s="7">
        <v>12571</v>
      </c>
      <c r="L176" s="7">
        <v>7624</v>
      </c>
      <c r="M176" s="7">
        <v>2419</v>
      </c>
      <c r="N176" s="7">
        <v>155077</v>
      </c>
      <c r="O176" s="7">
        <v>23</v>
      </c>
      <c r="P176" s="7">
        <v>50</v>
      </c>
      <c r="Q176" s="7" t="s">
        <v>48</v>
      </c>
      <c r="R176" s="6" t="s">
        <v>41</v>
      </c>
      <c r="S176" s="94"/>
      <c r="T176" s="94"/>
      <c r="U176" s="94"/>
      <c r="V176" s="94"/>
      <c r="W176" s="94"/>
      <c r="X176" s="94"/>
      <c r="Y176" s="94"/>
      <c r="Z176" s="94"/>
      <c r="AA176" s="94"/>
    </row>
    <row r="177" spans="1:27" ht="18" customHeight="1">
      <c r="A177" s="4" t="s">
        <v>443</v>
      </c>
      <c r="B177" s="4" t="s">
        <v>444</v>
      </c>
      <c r="C177" s="4">
        <v>48</v>
      </c>
      <c r="D177" s="4" t="s">
        <v>44</v>
      </c>
      <c r="E177" s="8" t="s">
        <v>45</v>
      </c>
      <c r="F177" s="4" t="s">
        <v>108</v>
      </c>
      <c r="G177" s="12">
        <v>42221</v>
      </c>
      <c r="H177" s="4" t="s">
        <v>47</v>
      </c>
      <c r="I177" s="4">
        <v>50575</v>
      </c>
      <c r="J177" s="4">
        <v>23418</v>
      </c>
      <c r="K177" s="4">
        <v>11200</v>
      </c>
      <c r="L177" s="4">
        <v>4140</v>
      </c>
      <c r="M177" s="4">
        <v>6349</v>
      </c>
      <c r="N177" s="4">
        <v>82984</v>
      </c>
      <c r="O177" s="4">
        <v>22</v>
      </c>
      <c r="P177" s="4">
        <v>66</v>
      </c>
      <c r="Q177" s="4" t="s">
        <v>40</v>
      </c>
      <c r="R177" s="6" t="s">
        <v>41</v>
      </c>
      <c r="S177" s="94"/>
      <c r="T177" s="94"/>
      <c r="U177" s="94"/>
      <c r="V177" s="94"/>
      <c r="W177" s="94"/>
      <c r="X177" s="94"/>
      <c r="Y177" s="94"/>
      <c r="Z177" s="94"/>
      <c r="AA177" s="94"/>
    </row>
    <row r="178" spans="1:27" ht="18" customHeight="1">
      <c r="A178" s="7" t="s">
        <v>445</v>
      </c>
      <c r="B178" s="7" t="s">
        <v>446</v>
      </c>
      <c r="C178" s="7">
        <v>54</v>
      </c>
      <c r="D178" s="7" t="s">
        <v>44</v>
      </c>
      <c r="E178" s="10" t="s">
        <v>58</v>
      </c>
      <c r="F178" s="7" t="s">
        <v>96</v>
      </c>
      <c r="G178" s="9">
        <v>43222</v>
      </c>
      <c r="H178" s="7" t="s">
        <v>55</v>
      </c>
      <c r="I178" s="7"/>
      <c r="J178" s="7">
        <v>21052</v>
      </c>
      <c r="K178" s="7">
        <v>6729</v>
      </c>
      <c r="L178" s="7">
        <v>1377</v>
      </c>
      <c r="M178" s="7">
        <v>7395</v>
      </c>
      <c r="N178" s="7"/>
      <c r="O178" s="7">
        <v>-22</v>
      </c>
      <c r="P178" s="7">
        <v>76</v>
      </c>
      <c r="Q178" s="7" t="s">
        <v>48</v>
      </c>
      <c r="R178" s="13" t="s">
        <v>67</v>
      </c>
      <c r="S178" s="94"/>
      <c r="T178" s="94"/>
      <c r="U178" s="94"/>
      <c r="V178" s="94"/>
      <c r="W178" s="94"/>
      <c r="X178" s="94"/>
      <c r="Y178" s="94"/>
      <c r="Z178" s="94"/>
      <c r="AA178" s="94"/>
    </row>
    <row r="179" spans="1:27" ht="18" customHeight="1">
      <c r="A179" s="4" t="s">
        <v>447</v>
      </c>
      <c r="B179" s="4" t="s">
        <v>448</v>
      </c>
      <c r="C179" s="4">
        <v>50</v>
      </c>
      <c r="D179" s="4" t="s">
        <v>52</v>
      </c>
      <c r="E179" s="11" t="s">
        <v>53</v>
      </c>
      <c r="F179" s="4" t="s">
        <v>118</v>
      </c>
      <c r="G179" s="12">
        <v>44811</v>
      </c>
      <c r="H179" s="4" t="s">
        <v>65</v>
      </c>
      <c r="I179" s="4">
        <v>80725</v>
      </c>
      <c r="J179" s="4">
        <v>25871</v>
      </c>
      <c r="K179" s="4">
        <v>12709</v>
      </c>
      <c r="L179" s="4">
        <v>6155</v>
      </c>
      <c r="M179" s="4">
        <v>3027</v>
      </c>
      <c r="N179" s="4">
        <v>122433</v>
      </c>
      <c r="O179" s="4">
        <v>19</v>
      </c>
      <c r="P179" s="4">
        <v>95</v>
      </c>
      <c r="Q179" s="4" t="s">
        <v>40</v>
      </c>
      <c r="R179" s="6" t="s">
        <v>41</v>
      </c>
      <c r="S179" s="94"/>
      <c r="T179" s="94"/>
      <c r="U179" s="94"/>
      <c r="V179" s="94"/>
      <c r="W179" s="94"/>
      <c r="X179" s="94"/>
      <c r="Y179" s="94"/>
      <c r="Z179" s="94"/>
      <c r="AA179" s="94"/>
    </row>
    <row r="180" spans="1:27" ht="18" customHeight="1">
      <c r="A180" s="7" t="s">
        <v>449</v>
      </c>
      <c r="B180" s="7" t="s">
        <v>450</v>
      </c>
      <c r="C180" s="7">
        <v>35</v>
      </c>
      <c r="D180" s="7" t="s">
        <v>52</v>
      </c>
      <c r="E180" s="5" t="s">
        <v>111</v>
      </c>
      <c r="F180" s="7" t="s">
        <v>112</v>
      </c>
      <c r="G180" s="9">
        <v>43216</v>
      </c>
      <c r="H180" s="7" t="s">
        <v>78</v>
      </c>
      <c r="I180" s="7">
        <v>102060</v>
      </c>
      <c r="J180" s="7">
        <v>44685</v>
      </c>
      <c r="K180" s="7">
        <v>13644</v>
      </c>
      <c r="L180" s="7">
        <v>4999</v>
      </c>
      <c r="M180" s="7">
        <v>6183</v>
      </c>
      <c r="N180" s="7">
        <v>159205</v>
      </c>
      <c r="O180" s="7">
        <v>21</v>
      </c>
      <c r="P180" s="7">
        <v>50</v>
      </c>
      <c r="Q180" s="7" t="s">
        <v>48</v>
      </c>
      <c r="R180" s="6" t="s">
        <v>41</v>
      </c>
      <c r="S180" s="94"/>
      <c r="T180" s="94"/>
      <c r="U180" s="94"/>
      <c r="V180" s="94"/>
      <c r="W180" s="94"/>
      <c r="X180" s="94"/>
      <c r="Y180" s="94"/>
      <c r="Z180" s="94"/>
      <c r="AA180" s="94"/>
    </row>
    <row r="181" spans="1:27" ht="18" customHeight="1">
      <c r="A181" s="4" t="s">
        <v>451</v>
      </c>
      <c r="B181" s="4" t="s">
        <v>452</v>
      </c>
      <c r="C181" s="4">
        <v>30</v>
      </c>
      <c r="D181" s="4" t="s">
        <v>52</v>
      </c>
      <c r="E181" s="11" t="s">
        <v>53</v>
      </c>
      <c r="F181" s="4" t="s">
        <v>54</v>
      </c>
      <c r="G181" s="12">
        <v>44996</v>
      </c>
      <c r="H181" s="4" t="s">
        <v>78</v>
      </c>
      <c r="I181" s="4">
        <v>117281</v>
      </c>
      <c r="J181" s="4">
        <v>42048</v>
      </c>
      <c r="K181" s="4">
        <v>11383</v>
      </c>
      <c r="L181" s="4">
        <v>2190</v>
      </c>
      <c r="M181" s="4">
        <v>5214</v>
      </c>
      <c r="N181" s="4">
        <v>167688</v>
      </c>
      <c r="O181" s="4">
        <v>25</v>
      </c>
      <c r="P181" s="4">
        <v>92</v>
      </c>
      <c r="Q181" s="4" t="s">
        <v>73</v>
      </c>
      <c r="R181" s="6" t="s">
        <v>41</v>
      </c>
      <c r="S181" s="94"/>
      <c r="T181" s="94"/>
      <c r="U181" s="94"/>
      <c r="V181" s="94"/>
      <c r="W181" s="94"/>
      <c r="X181" s="94"/>
      <c r="Y181" s="94"/>
      <c r="Z181" s="94"/>
      <c r="AA181" s="94"/>
    </row>
    <row r="182" spans="1:27" ht="18" customHeight="1">
      <c r="A182" s="7" t="s">
        <v>453</v>
      </c>
      <c r="B182" s="7" t="s">
        <v>170</v>
      </c>
      <c r="C182" s="7">
        <v>39</v>
      </c>
      <c r="D182" s="7" t="s">
        <v>52</v>
      </c>
      <c r="E182" s="14" t="s">
        <v>76</v>
      </c>
      <c r="F182" s="7" t="s">
        <v>154</v>
      </c>
      <c r="G182" s="9">
        <v>43182</v>
      </c>
      <c r="H182" s="7" t="s">
        <v>47</v>
      </c>
      <c r="I182" s="7">
        <v>67217</v>
      </c>
      <c r="J182" s="7">
        <v>31303</v>
      </c>
      <c r="K182" s="7">
        <v>14475</v>
      </c>
      <c r="L182" s="7">
        <v>6910</v>
      </c>
      <c r="M182" s="7">
        <v>6539</v>
      </c>
      <c r="N182" s="7">
        <v>113366</v>
      </c>
      <c r="O182" s="7">
        <v>21</v>
      </c>
      <c r="P182" s="7">
        <v>71</v>
      </c>
      <c r="Q182" s="7" t="s">
        <v>40</v>
      </c>
      <c r="R182" s="6" t="s">
        <v>41</v>
      </c>
      <c r="S182" s="94"/>
      <c r="T182" s="94"/>
      <c r="U182" s="94"/>
      <c r="V182" s="94"/>
      <c r="W182" s="94"/>
      <c r="X182" s="94"/>
      <c r="Y182" s="94"/>
      <c r="Z182" s="94"/>
      <c r="AA182" s="94"/>
    </row>
    <row r="183" spans="1:27" ht="18" customHeight="1">
      <c r="A183" s="4" t="s">
        <v>454</v>
      </c>
      <c r="B183" s="4" t="s">
        <v>455</v>
      </c>
      <c r="C183" s="4">
        <v>27</v>
      </c>
      <c r="D183" s="4" t="s">
        <v>52</v>
      </c>
      <c r="E183" s="14" t="s">
        <v>456</v>
      </c>
      <c r="F183" s="4" t="s">
        <v>99</v>
      </c>
      <c r="G183" s="4" t="s">
        <v>457</v>
      </c>
      <c r="H183" s="4" t="s">
        <v>47</v>
      </c>
      <c r="I183" s="4">
        <v>61467</v>
      </c>
      <c r="J183" s="4">
        <v>26980</v>
      </c>
      <c r="K183" s="4">
        <v>8046</v>
      </c>
      <c r="L183" s="4">
        <v>3724</v>
      </c>
      <c r="M183" s="4">
        <v>4998</v>
      </c>
      <c r="N183" s="4">
        <v>95219</v>
      </c>
      <c r="O183" s="4">
        <v>20</v>
      </c>
      <c r="P183" s="4">
        <v>77</v>
      </c>
      <c r="Q183" s="4" t="s">
        <v>60</v>
      </c>
      <c r="R183" s="6" t="s">
        <v>41</v>
      </c>
      <c r="S183" s="94"/>
      <c r="T183" s="94"/>
      <c r="U183" s="94"/>
      <c r="V183" s="94"/>
      <c r="W183" s="94"/>
      <c r="X183" s="94"/>
      <c r="Y183" s="94"/>
      <c r="Z183" s="94"/>
      <c r="AA183" s="94"/>
    </row>
    <row r="184" spans="1:27" ht="18" customHeight="1">
      <c r="A184" s="7" t="s">
        <v>458</v>
      </c>
      <c r="B184" s="7" t="s">
        <v>363</v>
      </c>
      <c r="C184" s="7">
        <v>53</v>
      </c>
      <c r="D184" s="7" t="s">
        <v>52</v>
      </c>
      <c r="E184" s="8" t="s">
        <v>45</v>
      </c>
      <c r="F184" s="7" t="s">
        <v>81</v>
      </c>
      <c r="G184" s="9">
        <v>43308</v>
      </c>
      <c r="H184" s="7" t="s">
        <v>78</v>
      </c>
      <c r="I184" s="7">
        <v>52767</v>
      </c>
      <c r="J184" s="7">
        <v>21051</v>
      </c>
      <c r="K184" s="7">
        <v>7289</v>
      </c>
      <c r="L184" s="7">
        <v>6785</v>
      </c>
      <c r="M184" s="7">
        <v>3323</v>
      </c>
      <c r="N184" s="7">
        <v>84569</v>
      </c>
      <c r="O184" s="7">
        <v>20</v>
      </c>
      <c r="P184" s="7">
        <v>75</v>
      </c>
      <c r="Q184" s="7" t="s">
        <v>40</v>
      </c>
      <c r="R184" s="6" t="s">
        <v>41</v>
      </c>
      <c r="S184" s="94"/>
      <c r="T184" s="94"/>
      <c r="U184" s="94"/>
      <c r="V184" s="94"/>
      <c r="W184" s="94"/>
      <c r="X184" s="94"/>
      <c r="Y184" s="94"/>
      <c r="Z184" s="94"/>
      <c r="AA184" s="94"/>
    </row>
    <row r="185" spans="1:27" ht="18" customHeight="1">
      <c r="A185" s="4" t="s">
        <v>459</v>
      </c>
      <c r="B185" s="4" t="s">
        <v>460</v>
      </c>
      <c r="C185" s="4">
        <v>41</v>
      </c>
      <c r="D185" s="4" t="s">
        <v>52</v>
      </c>
      <c r="E185" s="8" t="s">
        <v>45</v>
      </c>
      <c r="F185" s="4" t="s">
        <v>46</v>
      </c>
      <c r="G185" s="12">
        <v>44565</v>
      </c>
      <c r="H185" s="4" t="s">
        <v>196</v>
      </c>
      <c r="I185" s="4">
        <v>45707</v>
      </c>
      <c r="J185" s="4">
        <v>17746</v>
      </c>
      <c r="K185" s="4">
        <v>2011</v>
      </c>
      <c r="L185" s="4">
        <v>7848</v>
      </c>
      <c r="M185" s="4">
        <v>4504</v>
      </c>
      <c r="N185" s="4">
        <v>68808</v>
      </c>
      <c r="O185" s="4">
        <v>18</v>
      </c>
      <c r="P185" s="4">
        <v>84</v>
      </c>
      <c r="Q185" s="4" t="s">
        <v>60</v>
      </c>
      <c r="R185" s="6" t="s">
        <v>41</v>
      </c>
      <c r="S185" s="94"/>
      <c r="T185" s="94"/>
      <c r="U185" s="94"/>
      <c r="V185" s="94"/>
      <c r="W185" s="94"/>
      <c r="X185" s="94"/>
      <c r="Y185" s="94"/>
      <c r="Z185" s="94"/>
      <c r="AA185" s="94"/>
    </row>
    <row r="186" spans="1:27" ht="18" customHeight="1">
      <c r="A186" s="7" t="s">
        <v>461</v>
      </c>
      <c r="B186" s="7" t="s">
        <v>462</v>
      </c>
      <c r="C186" s="7">
        <v>49</v>
      </c>
      <c r="D186" s="7" t="s">
        <v>52</v>
      </c>
      <c r="E186" s="11" t="s">
        <v>53</v>
      </c>
      <c r="F186" s="7" t="s">
        <v>118</v>
      </c>
      <c r="G186" s="9">
        <v>44156</v>
      </c>
      <c r="H186" s="7" t="s">
        <v>47</v>
      </c>
      <c r="I186" s="7">
        <v>46695</v>
      </c>
      <c r="J186" s="7">
        <v>14492</v>
      </c>
      <c r="K186" s="7">
        <v>12249</v>
      </c>
      <c r="L186" s="7">
        <v>2502</v>
      </c>
      <c r="M186" s="7">
        <v>6947</v>
      </c>
      <c r="N186" s="7">
        <v>68991</v>
      </c>
      <c r="O186" s="7">
        <v>26</v>
      </c>
      <c r="P186" s="7">
        <v>88</v>
      </c>
      <c r="Q186" s="7" t="s">
        <v>40</v>
      </c>
      <c r="R186" s="6" t="s">
        <v>41</v>
      </c>
      <c r="S186" s="94"/>
      <c r="T186" s="94"/>
      <c r="U186" s="94"/>
      <c r="V186" s="94"/>
      <c r="W186" s="94"/>
      <c r="X186" s="94"/>
      <c r="Y186" s="94"/>
      <c r="Z186" s="94"/>
      <c r="AA186" s="94"/>
    </row>
    <row r="187" spans="1:27" ht="18" customHeight="1">
      <c r="A187" s="4" t="s">
        <v>463</v>
      </c>
      <c r="B187" s="4" t="s">
        <v>464</v>
      </c>
      <c r="C187" s="4">
        <v>49</v>
      </c>
      <c r="D187" s="4" t="s">
        <v>52</v>
      </c>
      <c r="E187" s="13" t="s">
        <v>63</v>
      </c>
      <c r="F187" s="4" t="s">
        <v>115</v>
      </c>
      <c r="G187" s="12">
        <v>42448</v>
      </c>
      <c r="H187" s="4" t="s">
        <v>47</v>
      </c>
      <c r="I187" s="4">
        <v>54647</v>
      </c>
      <c r="J187" s="4">
        <v>22071</v>
      </c>
      <c r="K187" s="4">
        <v>9291</v>
      </c>
      <c r="L187" s="4">
        <v>76</v>
      </c>
      <c r="M187" s="4">
        <v>1066</v>
      </c>
      <c r="N187" s="4">
        <v>85019</v>
      </c>
      <c r="O187" s="4">
        <v>26</v>
      </c>
      <c r="P187" s="4">
        <v>61</v>
      </c>
      <c r="Q187" s="4" t="s">
        <v>73</v>
      </c>
      <c r="R187" s="6" t="s">
        <v>41</v>
      </c>
      <c r="S187" s="94"/>
      <c r="T187" s="94"/>
      <c r="U187" s="94"/>
      <c r="V187" s="94"/>
      <c r="W187" s="94"/>
      <c r="X187" s="94"/>
      <c r="Y187" s="94"/>
      <c r="Z187" s="94"/>
      <c r="AA187" s="94"/>
    </row>
    <row r="188" spans="1:27" ht="18" customHeight="1">
      <c r="A188" s="7" t="s">
        <v>465</v>
      </c>
      <c r="B188" s="7" t="s">
        <v>466</v>
      </c>
      <c r="C188" s="7">
        <v>26</v>
      </c>
      <c r="D188" s="7" t="s">
        <v>52</v>
      </c>
      <c r="E188" s="5" t="s">
        <v>111</v>
      </c>
      <c r="F188" s="7" t="s">
        <v>112</v>
      </c>
      <c r="G188" s="9">
        <v>42411</v>
      </c>
      <c r="H188" s="7" t="s">
        <v>90</v>
      </c>
      <c r="I188" s="7">
        <v>73177</v>
      </c>
      <c r="J188" s="7">
        <v>34847</v>
      </c>
      <c r="K188" s="7">
        <v>4246</v>
      </c>
      <c r="L188" s="7">
        <v>3135</v>
      </c>
      <c r="M188" s="7">
        <v>7336</v>
      </c>
      <c r="N188" s="7">
        <v>108069</v>
      </c>
      <c r="O188" s="7">
        <v>17</v>
      </c>
      <c r="P188" s="7">
        <v>81</v>
      </c>
      <c r="Q188" s="7" t="s">
        <v>73</v>
      </c>
      <c r="R188" s="13" t="s">
        <v>67</v>
      </c>
      <c r="S188" s="94"/>
      <c r="T188" s="94"/>
      <c r="U188" s="94"/>
      <c r="V188" s="94"/>
      <c r="W188" s="94"/>
      <c r="X188" s="94"/>
      <c r="Y188" s="94"/>
      <c r="Z188" s="94"/>
      <c r="AA188" s="94"/>
    </row>
    <row r="189" spans="1:27" ht="18" customHeight="1">
      <c r="A189" s="4" t="s">
        <v>467</v>
      </c>
      <c r="B189" s="4" t="s">
        <v>390</v>
      </c>
      <c r="C189" s="4">
        <v>30</v>
      </c>
      <c r="D189" s="4" t="s">
        <v>52</v>
      </c>
      <c r="E189" s="5" t="s">
        <v>111</v>
      </c>
      <c r="F189" s="4" t="s">
        <v>217</v>
      </c>
      <c r="G189" s="12">
        <v>43428</v>
      </c>
      <c r="H189" s="4" t="s">
        <v>78</v>
      </c>
      <c r="I189" s="4">
        <v>44840</v>
      </c>
      <c r="J189" s="4">
        <v>21702</v>
      </c>
      <c r="K189" s="4">
        <v>12093</v>
      </c>
      <c r="L189" s="4">
        <v>5624</v>
      </c>
      <c r="M189" s="4">
        <v>4624</v>
      </c>
      <c r="N189" s="4">
        <v>79635</v>
      </c>
      <c r="O189" s="4">
        <v>18</v>
      </c>
      <c r="P189" s="4">
        <v>45</v>
      </c>
      <c r="Q189" s="4" t="s">
        <v>66</v>
      </c>
      <c r="R189" s="6" t="s">
        <v>41</v>
      </c>
      <c r="S189" s="94"/>
      <c r="T189" s="94"/>
      <c r="U189" s="94"/>
      <c r="V189" s="94"/>
      <c r="W189" s="94"/>
      <c r="X189" s="94"/>
      <c r="Y189" s="94"/>
      <c r="Z189" s="94"/>
      <c r="AA189" s="94"/>
    </row>
    <row r="190" spans="1:27" ht="18" customHeight="1">
      <c r="A190" s="7" t="s">
        <v>468</v>
      </c>
      <c r="B190" s="7" t="s">
        <v>469</v>
      </c>
      <c r="C190" s="7">
        <v>23</v>
      </c>
      <c r="D190" s="7" t="s">
        <v>44</v>
      </c>
      <c r="E190" s="11" t="s">
        <v>53</v>
      </c>
      <c r="F190" s="7" t="s">
        <v>87</v>
      </c>
      <c r="G190" s="9">
        <v>43898</v>
      </c>
      <c r="H190" s="7" t="s">
        <v>78</v>
      </c>
      <c r="I190" s="7">
        <v>61302</v>
      </c>
      <c r="J190" s="7">
        <v>26294</v>
      </c>
      <c r="K190" s="7">
        <v>6065</v>
      </c>
      <c r="L190" s="7">
        <v>4533</v>
      </c>
      <c r="M190" s="7">
        <v>5923</v>
      </c>
      <c r="N190" s="7">
        <v>92271</v>
      </c>
      <c r="O190" s="7">
        <v>24</v>
      </c>
      <c r="P190" s="7">
        <v>86</v>
      </c>
      <c r="Q190" s="7" t="s">
        <v>48</v>
      </c>
      <c r="R190" s="10" t="s">
        <v>49</v>
      </c>
      <c r="S190" s="94"/>
      <c r="T190" s="94"/>
      <c r="U190" s="94"/>
      <c r="V190" s="94"/>
      <c r="W190" s="94"/>
      <c r="X190" s="94"/>
      <c r="Y190" s="94"/>
      <c r="Z190" s="94"/>
      <c r="AA190" s="94"/>
    </row>
    <row r="191" spans="1:27" ht="18" customHeight="1">
      <c r="A191" s="4" t="s">
        <v>470</v>
      </c>
      <c r="B191" s="4" t="s">
        <v>471</v>
      </c>
      <c r="C191" s="4">
        <v>26</v>
      </c>
      <c r="D191" s="4" t="s">
        <v>44</v>
      </c>
      <c r="E191" s="10" t="s">
        <v>58</v>
      </c>
      <c r="F191" s="4" t="s">
        <v>59</v>
      </c>
      <c r="G191" s="12">
        <v>44337</v>
      </c>
      <c r="H191" s="4" t="s">
        <v>90</v>
      </c>
      <c r="I191" s="4">
        <v>32152</v>
      </c>
      <c r="J191" s="4">
        <v>14686</v>
      </c>
      <c r="K191" s="4">
        <v>5921</v>
      </c>
      <c r="L191" s="4">
        <v>4054</v>
      </c>
      <c r="M191" s="4">
        <v>4161</v>
      </c>
      <c r="N191" s="4">
        <v>52652</v>
      </c>
      <c r="O191" s="4">
        <v>16</v>
      </c>
      <c r="P191" s="4">
        <v>55</v>
      </c>
      <c r="Q191" s="4" t="s">
        <v>73</v>
      </c>
      <c r="R191" s="6" t="s">
        <v>41</v>
      </c>
      <c r="S191" s="94"/>
      <c r="T191" s="94"/>
      <c r="U191" s="94"/>
      <c r="V191" s="94"/>
      <c r="W191" s="94"/>
      <c r="X191" s="94"/>
      <c r="Y191" s="94"/>
      <c r="Z191" s="94"/>
      <c r="AA191" s="94"/>
    </row>
    <row r="192" spans="1:27" ht="18" customHeight="1">
      <c r="A192" s="7" t="s">
        <v>472</v>
      </c>
      <c r="B192" s="7" t="s">
        <v>473</v>
      </c>
      <c r="C192" s="7">
        <v>38</v>
      </c>
      <c r="D192" s="7" t="s">
        <v>52</v>
      </c>
      <c r="E192" s="5" t="s">
        <v>111</v>
      </c>
      <c r="F192" s="7" t="s">
        <v>37</v>
      </c>
      <c r="G192" s="9">
        <v>44096</v>
      </c>
      <c r="H192" s="7" t="s">
        <v>196</v>
      </c>
      <c r="I192" s="7">
        <v>47645</v>
      </c>
      <c r="J192" s="7">
        <v>21562</v>
      </c>
      <c r="K192" s="7">
        <v>14621</v>
      </c>
      <c r="L192" s="7">
        <v>597</v>
      </c>
      <c r="M192" s="7">
        <v>1136</v>
      </c>
      <c r="N192" s="7">
        <v>83289</v>
      </c>
      <c r="O192" s="7">
        <v>24</v>
      </c>
      <c r="P192" s="7">
        <v>44</v>
      </c>
      <c r="Q192" s="7" t="s">
        <v>66</v>
      </c>
      <c r="R192" s="6" t="s">
        <v>41</v>
      </c>
      <c r="S192" s="94"/>
      <c r="T192" s="94"/>
      <c r="U192" s="94"/>
      <c r="V192" s="94"/>
      <c r="W192" s="94"/>
      <c r="X192" s="94"/>
      <c r="Y192" s="94"/>
      <c r="Z192" s="94"/>
      <c r="AA192" s="94"/>
    </row>
    <row r="193" spans="1:27" ht="18" customHeight="1">
      <c r="A193" s="4" t="s">
        <v>474</v>
      </c>
      <c r="B193" s="4" t="s">
        <v>475</v>
      </c>
      <c r="C193" s="4">
        <v>27</v>
      </c>
      <c r="D193" s="4" t="s">
        <v>44</v>
      </c>
      <c r="E193" s="10" t="s">
        <v>58</v>
      </c>
      <c r="F193" s="4" t="s">
        <v>93</v>
      </c>
      <c r="G193" s="12">
        <v>45121</v>
      </c>
      <c r="H193" s="4" t="s">
        <v>65</v>
      </c>
      <c r="I193" s="4">
        <v>116987</v>
      </c>
      <c r="J193" s="4">
        <v>44508</v>
      </c>
      <c r="K193" s="4">
        <v>12494</v>
      </c>
      <c r="L193" s="4">
        <v>4395</v>
      </c>
      <c r="M193" s="4">
        <v>5404</v>
      </c>
      <c r="N193" s="4">
        <v>172980</v>
      </c>
      <c r="O193" s="4">
        <v>24</v>
      </c>
      <c r="P193" s="4">
        <v>49</v>
      </c>
      <c r="Q193" s="4" t="s">
        <v>73</v>
      </c>
      <c r="R193" s="6" t="s">
        <v>41</v>
      </c>
      <c r="S193" s="94"/>
      <c r="T193" s="94"/>
      <c r="U193" s="94"/>
      <c r="V193" s="94"/>
      <c r="W193" s="94"/>
      <c r="X193" s="94"/>
      <c r="Y193" s="94"/>
      <c r="Z193" s="94"/>
      <c r="AA193" s="94"/>
    </row>
    <row r="194" spans="1:27" ht="18" customHeight="1">
      <c r="A194" s="7" t="s">
        <v>476</v>
      </c>
      <c r="B194" s="7" t="s">
        <v>477</v>
      </c>
      <c r="C194" s="7">
        <v>25</v>
      </c>
      <c r="D194" s="7" t="s">
        <v>52</v>
      </c>
      <c r="E194" s="10" t="s">
        <v>58</v>
      </c>
      <c r="F194" s="7" t="s">
        <v>93</v>
      </c>
      <c r="G194" s="9">
        <v>44490</v>
      </c>
      <c r="H194" s="7" t="s">
        <v>196</v>
      </c>
      <c r="I194" s="7">
        <v>110175</v>
      </c>
      <c r="J194" s="7">
        <v>48060</v>
      </c>
      <c r="K194" s="7">
        <v>3083</v>
      </c>
      <c r="L194" s="7">
        <v>2540</v>
      </c>
      <c r="M194" s="7">
        <v>6723</v>
      </c>
      <c r="N194" s="7">
        <v>157135</v>
      </c>
      <c r="O194" s="7">
        <v>21</v>
      </c>
      <c r="P194" s="7">
        <v>86</v>
      </c>
      <c r="Q194" s="7" t="s">
        <v>66</v>
      </c>
      <c r="R194" s="6" t="s">
        <v>41</v>
      </c>
      <c r="S194" s="94"/>
      <c r="T194" s="94"/>
      <c r="U194" s="94"/>
      <c r="V194" s="94"/>
      <c r="W194" s="94"/>
      <c r="X194" s="94"/>
      <c r="Y194" s="94"/>
      <c r="Z194" s="94"/>
      <c r="AA194" s="94"/>
    </row>
    <row r="195" spans="1:27" ht="18" customHeight="1">
      <c r="A195" s="4" t="s">
        <v>478</v>
      </c>
      <c r="B195" s="4" t="s">
        <v>479</v>
      </c>
      <c r="C195" s="4">
        <v>32</v>
      </c>
      <c r="D195" s="4" t="s">
        <v>52</v>
      </c>
      <c r="E195" s="10" t="s">
        <v>58</v>
      </c>
      <c r="F195" s="4" t="s">
        <v>96</v>
      </c>
      <c r="G195" s="12">
        <v>43793</v>
      </c>
      <c r="H195" s="4" t="s">
        <v>84</v>
      </c>
      <c r="I195" s="4">
        <v>111252</v>
      </c>
      <c r="J195" s="4">
        <v>49856</v>
      </c>
      <c r="K195" s="4">
        <v>3956</v>
      </c>
      <c r="L195" s="4">
        <v>103</v>
      </c>
      <c r="M195" s="4">
        <v>6799</v>
      </c>
      <c r="N195" s="4">
        <v>158368</v>
      </c>
      <c r="O195" s="4">
        <v>17</v>
      </c>
      <c r="P195" s="4">
        <v>84</v>
      </c>
      <c r="Q195" s="4" t="s">
        <v>60</v>
      </c>
      <c r="R195" s="6" t="s">
        <v>41</v>
      </c>
      <c r="S195" s="94"/>
      <c r="T195" s="94"/>
      <c r="U195" s="94"/>
      <c r="V195" s="94"/>
      <c r="W195" s="94"/>
      <c r="X195" s="94"/>
      <c r="Y195" s="94"/>
      <c r="Z195" s="94"/>
      <c r="AA195" s="94"/>
    </row>
    <row r="196" spans="1:27" ht="18" customHeight="1">
      <c r="A196" s="7" t="s">
        <v>480</v>
      </c>
      <c r="B196" s="7" t="s">
        <v>481</v>
      </c>
      <c r="C196" s="7">
        <v>39</v>
      </c>
      <c r="D196" s="7" t="s">
        <v>44</v>
      </c>
      <c r="E196" s="13" t="s">
        <v>63</v>
      </c>
      <c r="F196" s="7" t="s">
        <v>102</v>
      </c>
      <c r="G196" s="9">
        <v>43094</v>
      </c>
      <c r="H196" s="7" t="s">
        <v>90</v>
      </c>
      <c r="I196" s="7">
        <v>60227</v>
      </c>
      <c r="J196" s="7">
        <v>26897</v>
      </c>
      <c r="K196" s="7">
        <v>3934</v>
      </c>
      <c r="L196" s="7">
        <v>6319</v>
      </c>
      <c r="M196" s="7">
        <v>1240</v>
      </c>
      <c r="N196" s="7">
        <v>96137</v>
      </c>
      <c r="O196" s="7">
        <v>20</v>
      </c>
      <c r="P196" s="7">
        <v>91</v>
      </c>
      <c r="Q196" s="7" t="s">
        <v>48</v>
      </c>
      <c r="R196" s="6" t="s">
        <v>41</v>
      </c>
      <c r="S196" s="94"/>
      <c r="T196" s="94"/>
      <c r="U196" s="94"/>
      <c r="V196" s="94"/>
      <c r="W196" s="94"/>
      <c r="X196" s="94"/>
      <c r="Y196" s="94"/>
      <c r="Z196" s="94"/>
      <c r="AA196" s="94"/>
    </row>
    <row r="197" spans="1:27" ht="18" customHeight="1">
      <c r="A197" s="4" t="s">
        <v>482</v>
      </c>
      <c r="B197" s="4" t="s">
        <v>483</v>
      </c>
      <c r="C197" s="4">
        <v>29</v>
      </c>
      <c r="D197" s="4" t="s">
        <v>52</v>
      </c>
      <c r="E197" s="14" t="s">
        <v>76</v>
      </c>
      <c r="F197" s="4" t="s">
        <v>99</v>
      </c>
      <c r="G197" s="12">
        <v>44790</v>
      </c>
      <c r="H197" s="4" t="s">
        <v>196</v>
      </c>
      <c r="I197" s="4">
        <v>72202</v>
      </c>
      <c r="J197" s="4">
        <v>22461</v>
      </c>
      <c r="K197" s="4">
        <v>11287</v>
      </c>
      <c r="L197" s="4">
        <v>1367</v>
      </c>
      <c r="M197" s="4">
        <v>4012</v>
      </c>
      <c r="N197" s="4">
        <v>103305</v>
      </c>
      <c r="O197" s="4">
        <v>17</v>
      </c>
      <c r="P197" s="4">
        <v>56</v>
      </c>
      <c r="Q197" s="4" t="s">
        <v>40</v>
      </c>
      <c r="R197" s="10" t="s">
        <v>49</v>
      </c>
      <c r="S197" s="94"/>
      <c r="T197" s="94"/>
      <c r="U197" s="94"/>
      <c r="V197" s="94"/>
      <c r="W197" s="94"/>
      <c r="X197" s="94"/>
      <c r="Y197" s="94"/>
      <c r="Z197" s="94"/>
      <c r="AA197" s="94"/>
    </row>
    <row r="198" spans="1:27" ht="18" customHeight="1">
      <c r="A198" s="7" t="s">
        <v>484</v>
      </c>
      <c r="B198" s="7" t="s">
        <v>485</v>
      </c>
      <c r="C198" s="7">
        <v>36</v>
      </c>
      <c r="D198" s="7" t="s">
        <v>44</v>
      </c>
      <c r="E198" s="8" t="s">
        <v>45</v>
      </c>
      <c r="F198" s="7" t="s">
        <v>306</v>
      </c>
      <c r="G198" s="9">
        <v>42228</v>
      </c>
      <c r="H198" s="7" t="s">
        <v>65</v>
      </c>
      <c r="I198" s="7">
        <v>75197</v>
      </c>
      <c r="J198" s="7">
        <v>36399</v>
      </c>
      <c r="K198" s="7">
        <v>4932</v>
      </c>
      <c r="L198" s="7">
        <v>7628</v>
      </c>
      <c r="M198" s="7">
        <v>1289</v>
      </c>
      <c r="N198" s="7">
        <v>122867</v>
      </c>
      <c r="O198" s="7">
        <v>23</v>
      </c>
      <c r="P198" s="7">
        <v>91</v>
      </c>
      <c r="Q198" s="7" t="s">
        <v>60</v>
      </c>
      <c r="R198" s="6" t="s">
        <v>41</v>
      </c>
      <c r="S198" s="94"/>
      <c r="T198" s="94"/>
      <c r="U198" s="94"/>
      <c r="V198" s="94"/>
      <c r="W198" s="94"/>
      <c r="X198" s="94"/>
      <c r="Y198" s="94"/>
      <c r="Z198" s="94"/>
      <c r="AA198" s="94"/>
    </row>
    <row r="199" spans="1:27" ht="18" customHeight="1">
      <c r="A199" s="4" t="s">
        <v>486</v>
      </c>
      <c r="B199" s="4" t="s">
        <v>487</v>
      </c>
      <c r="C199" s="4">
        <v>26</v>
      </c>
      <c r="D199" s="4" t="s">
        <v>44</v>
      </c>
      <c r="E199" s="11" t="s">
        <v>53</v>
      </c>
      <c r="F199" s="4" t="s">
        <v>118</v>
      </c>
      <c r="G199" s="12">
        <v>43878</v>
      </c>
      <c r="H199" s="4" t="s">
        <v>84</v>
      </c>
      <c r="I199" s="4">
        <v>113254</v>
      </c>
      <c r="J199" s="4">
        <v>54406</v>
      </c>
      <c r="K199" s="4">
        <v>4938</v>
      </c>
      <c r="L199" s="4">
        <v>1828</v>
      </c>
      <c r="M199" s="4">
        <v>7589</v>
      </c>
      <c r="N199" s="4">
        <v>166837</v>
      </c>
      <c r="O199" s="4">
        <v>23</v>
      </c>
      <c r="P199" s="4">
        <v>42</v>
      </c>
      <c r="Q199" s="4" t="s">
        <v>60</v>
      </c>
      <c r="R199" s="6" t="s">
        <v>41</v>
      </c>
      <c r="S199" s="94"/>
      <c r="T199" s="94"/>
      <c r="U199" s="94"/>
      <c r="V199" s="94"/>
      <c r="W199" s="94"/>
      <c r="X199" s="94"/>
      <c r="Y199" s="94"/>
      <c r="Z199" s="94"/>
      <c r="AA199" s="94"/>
    </row>
    <row r="200" spans="1:27" ht="18" customHeight="1">
      <c r="A200" s="7" t="s">
        <v>488</v>
      </c>
      <c r="B200" s="7" t="s">
        <v>489</v>
      </c>
      <c r="C200" s="7">
        <v>53</v>
      </c>
      <c r="D200" s="7" t="s">
        <v>44</v>
      </c>
      <c r="E200" s="8" t="s">
        <v>45</v>
      </c>
      <c r="F200" s="7" t="s">
        <v>81</v>
      </c>
      <c r="G200" s="9">
        <v>42162</v>
      </c>
      <c r="H200" s="7" t="s">
        <v>78</v>
      </c>
      <c r="I200" s="7">
        <v>63219</v>
      </c>
      <c r="J200" s="7">
        <v>26094</v>
      </c>
      <c r="K200" s="7">
        <v>6979</v>
      </c>
      <c r="L200" s="7">
        <v>6058</v>
      </c>
      <c r="M200" s="7">
        <v>6101</v>
      </c>
      <c r="N200" s="7">
        <v>96249</v>
      </c>
      <c r="O200" s="7">
        <v>18</v>
      </c>
      <c r="P200" s="7">
        <v>69</v>
      </c>
      <c r="Q200" s="7" t="s">
        <v>73</v>
      </c>
      <c r="R200" s="6" t="s">
        <v>41</v>
      </c>
      <c r="S200" s="94"/>
      <c r="T200" s="94"/>
      <c r="U200" s="94"/>
      <c r="V200" s="94"/>
      <c r="W200" s="94"/>
      <c r="X200" s="94"/>
      <c r="Y200" s="94"/>
      <c r="Z200" s="94"/>
      <c r="AA200" s="94"/>
    </row>
    <row r="201" spans="1:27" ht="18" customHeight="1">
      <c r="A201" s="4" t="s">
        <v>490</v>
      </c>
      <c r="B201" s="4" t="s">
        <v>491</v>
      </c>
      <c r="C201" s="4">
        <v>41</v>
      </c>
      <c r="D201" s="4" t="s">
        <v>44</v>
      </c>
      <c r="E201" s="13" t="s">
        <v>63</v>
      </c>
      <c r="F201" s="4" t="s">
        <v>64</v>
      </c>
      <c r="G201" s="12">
        <v>44204</v>
      </c>
      <c r="H201" s="4" t="s">
        <v>55</v>
      </c>
      <c r="I201" s="4">
        <v>95981</v>
      </c>
      <c r="J201" s="4">
        <v>35444</v>
      </c>
      <c r="K201" s="4">
        <v>13361</v>
      </c>
      <c r="L201" s="4">
        <v>7186</v>
      </c>
      <c r="M201" s="4">
        <v>1078</v>
      </c>
      <c r="N201" s="4">
        <v>150894</v>
      </c>
      <c r="O201" s="4">
        <v>20</v>
      </c>
      <c r="P201" s="4">
        <v>40</v>
      </c>
      <c r="Q201" s="4" t="s">
        <v>66</v>
      </c>
      <c r="R201" s="6" t="s">
        <v>41</v>
      </c>
      <c r="S201" s="94"/>
      <c r="T201" s="94"/>
      <c r="U201" s="94"/>
      <c r="V201" s="94"/>
      <c r="W201" s="94"/>
      <c r="X201" s="94"/>
      <c r="Y201" s="94"/>
      <c r="Z201" s="94"/>
      <c r="AA201" s="94"/>
    </row>
    <row r="202" spans="1:27" ht="18" customHeight="1">
      <c r="A202" s="7" t="s">
        <v>492</v>
      </c>
      <c r="B202" s="7" t="s">
        <v>493</v>
      </c>
      <c r="C202" s="7">
        <v>51</v>
      </c>
      <c r="D202" s="7" t="s">
        <v>44</v>
      </c>
      <c r="E202" s="5" t="s">
        <v>111</v>
      </c>
      <c r="F202" s="7" t="s">
        <v>112</v>
      </c>
      <c r="G202" s="9">
        <v>43078</v>
      </c>
      <c r="H202" s="7" t="s">
        <v>47</v>
      </c>
      <c r="I202" s="7">
        <v>37193</v>
      </c>
      <c r="J202" s="7">
        <v>11484</v>
      </c>
      <c r="K202" s="7">
        <v>5792</v>
      </c>
      <c r="L202" s="7">
        <v>7350</v>
      </c>
      <c r="M202" s="7">
        <v>7926</v>
      </c>
      <c r="N202" s="7">
        <v>53893</v>
      </c>
      <c r="O202" s="7">
        <v>23</v>
      </c>
      <c r="P202" s="7">
        <v>66</v>
      </c>
      <c r="Q202" s="7" t="s">
        <v>48</v>
      </c>
      <c r="R202" s="6" t="s">
        <v>41</v>
      </c>
      <c r="S202" s="94"/>
      <c r="T202" s="94"/>
      <c r="U202" s="94"/>
      <c r="V202" s="94"/>
      <c r="W202" s="94"/>
      <c r="X202" s="94"/>
      <c r="Y202" s="94"/>
      <c r="Z202" s="94"/>
      <c r="AA202" s="94"/>
    </row>
    <row r="203" spans="1:27" ht="18" customHeight="1">
      <c r="A203" s="4" t="s">
        <v>494</v>
      </c>
      <c r="B203" s="4" t="s">
        <v>495</v>
      </c>
      <c r="C203" s="4">
        <v>47</v>
      </c>
      <c r="D203" s="4" t="s">
        <v>35</v>
      </c>
      <c r="E203" s="13" t="s">
        <v>63</v>
      </c>
      <c r="F203" s="4" t="s">
        <v>115</v>
      </c>
      <c r="G203" s="4" t="s">
        <v>496</v>
      </c>
      <c r="H203" s="4" t="s">
        <v>497</v>
      </c>
      <c r="I203" s="4"/>
      <c r="J203" s="4">
        <v>12834</v>
      </c>
      <c r="K203" s="4">
        <v>4141</v>
      </c>
      <c r="L203" s="4">
        <v>1939</v>
      </c>
      <c r="M203" s="4">
        <v>3389</v>
      </c>
      <c r="N203" s="4"/>
      <c r="O203" s="4">
        <v>19</v>
      </c>
      <c r="P203" s="4">
        <v>94</v>
      </c>
      <c r="Q203" s="4" t="s">
        <v>66</v>
      </c>
      <c r="R203" s="10" t="s">
        <v>49</v>
      </c>
      <c r="S203" s="94"/>
      <c r="T203" s="94"/>
      <c r="U203" s="94"/>
      <c r="V203" s="94"/>
      <c r="W203" s="94"/>
      <c r="X203" s="94"/>
      <c r="Y203" s="94"/>
      <c r="Z203" s="94"/>
      <c r="AA203" s="94"/>
    </row>
    <row r="204" spans="1:27" ht="18" customHeight="1">
      <c r="A204" s="7" t="s">
        <v>498</v>
      </c>
      <c r="B204" s="7" t="s">
        <v>499</v>
      </c>
      <c r="C204" s="7">
        <v>29</v>
      </c>
      <c r="D204" s="7" t="s">
        <v>44</v>
      </c>
      <c r="E204" s="11" t="s">
        <v>53</v>
      </c>
      <c r="F204" s="7" t="s">
        <v>208</v>
      </c>
      <c r="G204" s="9">
        <v>42465</v>
      </c>
      <c r="H204" s="7" t="s">
        <v>90</v>
      </c>
      <c r="I204" s="7">
        <v>101638</v>
      </c>
      <c r="J204" s="7">
        <v>32707</v>
      </c>
      <c r="K204" s="7">
        <v>3731</v>
      </c>
      <c r="L204" s="7">
        <v>1346</v>
      </c>
      <c r="M204" s="7">
        <v>4682</v>
      </c>
      <c r="N204" s="7">
        <v>134740</v>
      </c>
      <c r="O204" s="7">
        <v>22</v>
      </c>
      <c r="P204" s="7">
        <v>60</v>
      </c>
      <c r="Q204" s="7" t="s">
        <v>66</v>
      </c>
      <c r="R204" s="6" t="s">
        <v>41</v>
      </c>
      <c r="S204" s="94"/>
      <c r="T204" s="94"/>
      <c r="U204" s="94"/>
      <c r="V204" s="94"/>
      <c r="W204" s="94"/>
      <c r="X204" s="94"/>
      <c r="Y204" s="94"/>
      <c r="Z204" s="94"/>
      <c r="AA204" s="94"/>
    </row>
    <row r="205" spans="1:27" ht="18" customHeight="1">
      <c r="A205" s="4" t="s">
        <v>500</v>
      </c>
      <c r="B205" s="4" t="s">
        <v>501</v>
      </c>
      <c r="C205" s="4">
        <v>35</v>
      </c>
      <c r="D205" s="4" t="s">
        <v>52</v>
      </c>
      <c r="E205" s="11" t="s">
        <v>53</v>
      </c>
      <c r="F205" s="4" t="s">
        <v>87</v>
      </c>
      <c r="G205" s="12">
        <v>43499</v>
      </c>
      <c r="H205" s="4" t="s">
        <v>78</v>
      </c>
      <c r="I205" s="4">
        <v>45658</v>
      </c>
      <c r="J205" s="4">
        <v>21072</v>
      </c>
      <c r="K205" s="4">
        <v>6984</v>
      </c>
      <c r="L205" s="4">
        <v>6769</v>
      </c>
      <c r="M205" s="4">
        <v>6772</v>
      </c>
      <c r="N205" s="4">
        <v>73711</v>
      </c>
      <c r="O205" s="4">
        <v>26</v>
      </c>
      <c r="P205" s="4">
        <v>78</v>
      </c>
      <c r="Q205" s="4" t="s">
        <v>73</v>
      </c>
      <c r="R205" s="6" t="s">
        <v>41</v>
      </c>
      <c r="S205" s="94"/>
      <c r="T205" s="94"/>
      <c r="U205" s="94"/>
      <c r="V205" s="94"/>
      <c r="W205" s="94"/>
      <c r="X205" s="94"/>
      <c r="Y205" s="94"/>
      <c r="Z205" s="94"/>
      <c r="AA205" s="94"/>
    </row>
    <row r="206" spans="1:27" ht="18" customHeight="1">
      <c r="A206" s="7" t="s">
        <v>502</v>
      </c>
      <c r="B206" s="7" t="s">
        <v>503</v>
      </c>
      <c r="C206" s="7">
        <v>28</v>
      </c>
      <c r="D206" s="7" t="s">
        <v>52</v>
      </c>
      <c r="E206" s="11" t="s">
        <v>53</v>
      </c>
      <c r="F206" s="7" t="s">
        <v>87</v>
      </c>
      <c r="G206" s="9">
        <v>44948</v>
      </c>
      <c r="H206" s="7" t="s">
        <v>84</v>
      </c>
      <c r="I206" s="7">
        <v>64169</v>
      </c>
      <c r="J206" s="7">
        <v>22590</v>
      </c>
      <c r="K206" s="7">
        <v>4848</v>
      </c>
      <c r="L206" s="7">
        <v>254</v>
      </c>
      <c r="M206" s="7">
        <v>4312</v>
      </c>
      <c r="N206" s="7">
        <v>87549</v>
      </c>
      <c r="O206" s="7">
        <v>22</v>
      </c>
      <c r="P206" s="7">
        <v>75</v>
      </c>
      <c r="Q206" s="7" t="s">
        <v>73</v>
      </c>
      <c r="R206" s="6" t="s">
        <v>41</v>
      </c>
      <c r="S206" s="94"/>
      <c r="T206" s="94"/>
      <c r="U206" s="94"/>
      <c r="V206" s="94"/>
      <c r="W206" s="94"/>
      <c r="X206" s="94"/>
      <c r="Y206" s="94"/>
      <c r="Z206" s="94"/>
      <c r="AA206" s="94"/>
    </row>
    <row r="207" spans="1:27" ht="18" customHeight="1">
      <c r="A207" s="4" t="s">
        <v>504</v>
      </c>
      <c r="B207" s="4" t="s">
        <v>505</v>
      </c>
      <c r="C207" s="4">
        <v>26</v>
      </c>
      <c r="D207" s="4" t="s">
        <v>44</v>
      </c>
      <c r="E207" s="8" t="s">
        <v>45</v>
      </c>
      <c r="F207" s="4" t="s">
        <v>46</v>
      </c>
      <c r="G207" s="12">
        <v>42099</v>
      </c>
      <c r="H207" s="4" t="s">
        <v>55</v>
      </c>
      <c r="I207" s="4">
        <v>50969</v>
      </c>
      <c r="J207" s="4">
        <v>23687</v>
      </c>
      <c r="K207" s="4">
        <v>8098</v>
      </c>
      <c r="L207" s="4">
        <v>5622</v>
      </c>
      <c r="M207" s="4">
        <v>6163</v>
      </c>
      <c r="N207" s="4">
        <v>82213</v>
      </c>
      <c r="O207" s="4">
        <v>25</v>
      </c>
      <c r="P207" s="4">
        <v>45</v>
      </c>
      <c r="Q207" s="4" t="s">
        <v>66</v>
      </c>
      <c r="R207" s="6" t="s">
        <v>41</v>
      </c>
      <c r="S207" s="94"/>
      <c r="T207" s="94"/>
      <c r="U207" s="94"/>
      <c r="V207" s="94"/>
      <c r="W207" s="94"/>
      <c r="X207" s="94"/>
      <c r="Y207" s="94"/>
      <c r="Z207" s="94"/>
      <c r="AA207" s="94"/>
    </row>
    <row r="208" spans="1:27" ht="18" customHeight="1">
      <c r="A208" s="7" t="s">
        <v>506</v>
      </c>
      <c r="B208" s="7" t="s">
        <v>507</v>
      </c>
      <c r="C208" s="7">
        <v>23</v>
      </c>
      <c r="D208" s="7" t="s">
        <v>44</v>
      </c>
      <c r="E208" s="13" t="s">
        <v>63</v>
      </c>
      <c r="F208" s="7" t="s">
        <v>64</v>
      </c>
      <c r="G208" s="9">
        <v>43863</v>
      </c>
      <c r="H208" s="7" t="s">
        <v>84</v>
      </c>
      <c r="I208" s="7">
        <v>85423</v>
      </c>
      <c r="J208" s="7">
        <v>26492</v>
      </c>
      <c r="K208" s="7">
        <v>11402</v>
      </c>
      <c r="L208" s="7">
        <v>3548</v>
      </c>
      <c r="M208" s="7">
        <v>7731</v>
      </c>
      <c r="N208" s="7">
        <v>119134</v>
      </c>
      <c r="O208" s="7">
        <v>26</v>
      </c>
      <c r="P208" s="7">
        <v>65</v>
      </c>
      <c r="Q208" s="7" t="s">
        <v>60</v>
      </c>
      <c r="R208" s="10" t="s">
        <v>49</v>
      </c>
      <c r="S208" s="94"/>
      <c r="T208" s="94"/>
      <c r="U208" s="94"/>
      <c r="V208" s="94"/>
      <c r="W208" s="94"/>
      <c r="X208" s="94"/>
      <c r="Y208" s="94"/>
      <c r="Z208" s="94"/>
      <c r="AA208" s="94"/>
    </row>
    <row r="209" spans="1:27" ht="18" customHeight="1">
      <c r="A209" s="4" t="s">
        <v>508</v>
      </c>
      <c r="B209" s="4" t="s">
        <v>509</v>
      </c>
      <c r="C209" s="4">
        <v>48</v>
      </c>
      <c r="D209" s="4" t="s">
        <v>44</v>
      </c>
      <c r="E209" s="13" t="s">
        <v>63</v>
      </c>
      <c r="F209" s="4" t="s">
        <v>70</v>
      </c>
      <c r="G209" s="12">
        <v>43600</v>
      </c>
      <c r="H209" s="4" t="s">
        <v>90</v>
      </c>
      <c r="I209" s="4">
        <v>44481</v>
      </c>
      <c r="J209" s="4">
        <v>13653</v>
      </c>
      <c r="K209" s="4">
        <v>12144</v>
      </c>
      <c r="L209" s="4">
        <v>5054</v>
      </c>
      <c r="M209" s="4">
        <v>3013</v>
      </c>
      <c r="N209" s="4">
        <v>72319</v>
      </c>
      <c r="O209" s="4">
        <v>25</v>
      </c>
      <c r="P209" s="4">
        <v>58</v>
      </c>
      <c r="Q209" s="4" t="s">
        <v>60</v>
      </c>
      <c r="R209" s="6" t="s">
        <v>41</v>
      </c>
      <c r="S209" s="94"/>
      <c r="T209" s="94"/>
      <c r="U209" s="94"/>
      <c r="V209" s="94"/>
      <c r="W209" s="94"/>
      <c r="X209" s="94"/>
      <c r="Y209" s="94"/>
      <c r="Z209" s="94"/>
      <c r="AA209" s="94"/>
    </row>
    <row r="210" spans="1:27" ht="18" customHeight="1">
      <c r="A210" s="7" t="s">
        <v>510</v>
      </c>
      <c r="B210" s="7" t="s">
        <v>511</v>
      </c>
      <c r="C210" s="7">
        <v>52</v>
      </c>
      <c r="D210" s="7" t="s">
        <v>44</v>
      </c>
      <c r="E210" s="5" t="s">
        <v>111</v>
      </c>
      <c r="F210" s="7" t="s">
        <v>128</v>
      </c>
      <c r="G210" s="9">
        <v>44307</v>
      </c>
      <c r="H210" s="7" t="s">
        <v>90</v>
      </c>
      <c r="I210" s="7">
        <v>93919</v>
      </c>
      <c r="J210" s="7">
        <v>32856</v>
      </c>
      <c r="K210" s="7">
        <v>10907</v>
      </c>
      <c r="L210" s="7">
        <v>6511</v>
      </c>
      <c r="M210" s="7">
        <v>1159</v>
      </c>
      <c r="N210" s="7">
        <v>143034</v>
      </c>
      <c r="O210" s="7">
        <v>21</v>
      </c>
      <c r="P210" s="7">
        <v>90</v>
      </c>
      <c r="Q210" s="7" t="s">
        <v>48</v>
      </c>
      <c r="R210" s="6" t="s">
        <v>41</v>
      </c>
      <c r="S210" s="94"/>
      <c r="T210" s="94"/>
      <c r="U210" s="94"/>
      <c r="V210" s="94"/>
      <c r="W210" s="94"/>
      <c r="X210" s="94"/>
      <c r="Y210" s="94"/>
      <c r="Z210" s="94"/>
      <c r="AA210" s="94"/>
    </row>
    <row r="211" spans="1:27" ht="18" customHeight="1">
      <c r="A211" s="4" t="s">
        <v>512</v>
      </c>
      <c r="B211" s="4" t="s">
        <v>513</v>
      </c>
      <c r="C211" s="4">
        <v>55</v>
      </c>
      <c r="D211" s="4" t="s">
        <v>44</v>
      </c>
      <c r="E211" s="11" t="s">
        <v>53</v>
      </c>
      <c r="F211" s="4" t="s">
        <v>87</v>
      </c>
      <c r="G211" s="12">
        <v>43525</v>
      </c>
      <c r="H211" s="4" t="s">
        <v>65</v>
      </c>
      <c r="I211" s="4">
        <v>66795</v>
      </c>
      <c r="J211" s="4">
        <v>28015</v>
      </c>
      <c r="K211" s="4">
        <v>2480</v>
      </c>
      <c r="L211" s="4">
        <v>7338</v>
      </c>
      <c r="M211" s="4">
        <v>7641</v>
      </c>
      <c r="N211" s="4">
        <v>96987</v>
      </c>
      <c r="O211" s="4">
        <v>19</v>
      </c>
      <c r="P211" s="4">
        <v>43</v>
      </c>
      <c r="Q211" s="4" t="s">
        <v>40</v>
      </c>
      <c r="R211" s="13" t="s">
        <v>67</v>
      </c>
      <c r="S211" s="94"/>
      <c r="T211" s="94"/>
      <c r="U211" s="94"/>
      <c r="V211" s="94"/>
      <c r="W211" s="94"/>
      <c r="X211" s="94"/>
      <c r="Y211" s="94"/>
      <c r="Z211" s="94"/>
      <c r="AA211" s="94"/>
    </row>
    <row r="212" spans="1:27" ht="18" customHeight="1">
      <c r="A212" s="7" t="s">
        <v>514</v>
      </c>
      <c r="B212" s="7" t="s">
        <v>515</v>
      </c>
      <c r="C212" s="7">
        <v>33</v>
      </c>
      <c r="D212" s="7" t="s">
        <v>52</v>
      </c>
      <c r="E212" s="13" t="s">
        <v>63</v>
      </c>
      <c r="F212" s="7" t="s">
        <v>70</v>
      </c>
      <c r="G212" s="9">
        <v>43735</v>
      </c>
      <c r="H212" s="7" t="s">
        <v>196</v>
      </c>
      <c r="I212" s="7">
        <v>32328</v>
      </c>
      <c r="J212" s="7">
        <v>14638</v>
      </c>
      <c r="K212" s="7">
        <v>5594</v>
      </c>
      <c r="L212" s="7">
        <v>4716</v>
      </c>
      <c r="M212" s="7">
        <v>7934</v>
      </c>
      <c r="N212" s="7">
        <v>49342</v>
      </c>
      <c r="O212" s="7">
        <v>21</v>
      </c>
      <c r="P212" s="7">
        <v>62</v>
      </c>
      <c r="Q212" s="7" t="s">
        <v>60</v>
      </c>
      <c r="R212" s="13" t="s">
        <v>67</v>
      </c>
      <c r="S212" s="94"/>
      <c r="T212" s="94"/>
      <c r="U212" s="94"/>
      <c r="V212" s="94"/>
      <c r="W212" s="94"/>
      <c r="X212" s="94"/>
      <c r="Y212" s="94"/>
      <c r="Z212" s="94"/>
      <c r="AA212" s="94"/>
    </row>
    <row r="213" spans="1:27" ht="18" customHeight="1">
      <c r="A213" s="4" t="s">
        <v>516</v>
      </c>
      <c r="B213" s="4" t="s">
        <v>517</v>
      </c>
      <c r="C213" s="4">
        <v>33</v>
      </c>
      <c r="D213" s="4" t="s">
        <v>44</v>
      </c>
      <c r="E213" s="10" t="s">
        <v>141</v>
      </c>
      <c r="F213" s="4" t="s">
        <v>96</v>
      </c>
      <c r="G213" s="12">
        <v>44123</v>
      </c>
      <c r="H213" s="4" t="s">
        <v>84</v>
      </c>
      <c r="I213" s="4">
        <v>43625</v>
      </c>
      <c r="J213" s="4">
        <v>18001</v>
      </c>
      <c r="K213" s="4">
        <v>5084</v>
      </c>
      <c r="L213" s="4">
        <v>6854</v>
      </c>
      <c r="M213" s="4">
        <v>7638</v>
      </c>
      <c r="N213" s="4">
        <v>65926</v>
      </c>
      <c r="O213" s="4">
        <v>-22</v>
      </c>
      <c r="P213" s="4">
        <v>74</v>
      </c>
      <c r="Q213" s="4" t="s">
        <v>73</v>
      </c>
      <c r="R213" s="6" t="s">
        <v>41</v>
      </c>
      <c r="S213" s="94"/>
      <c r="T213" s="94"/>
      <c r="U213" s="94"/>
      <c r="V213" s="94"/>
      <c r="W213" s="94"/>
      <c r="X213" s="94"/>
      <c r="Y213" s="94"/>
      <c r="Z213" s="94"/>
      <c r="AA213" s="94"/>
    </row>
    <row r="214" spans="1:27" ht="18" customHeight="1">
      <c r="A214" s="7" t="s">
        <v>518</v>
      </c>
      <c r="B214" s="7" t="s">
        <v>519</v>
      </c>
      <c r="C214" s="7">
        <v>42</v>
      </c>
      <c r="D214" s="7" t="s">
        <v>52</v>
      </c>
      <c r="E214" s="10" t="s">
        <v>58</v>
      </c>
      <c r="F214" s="7" t="s">
        <v>59</v>
      </c>
      <c r="G214" s="9">
        <v>42263</v>
      </c>
      <c r="H214" s="7" t="s">
        <v>55</v>
      </c>
      <c r="I214" s="7">
        <v>25089</v>
      </c>
      <c r="J214" s="7">
        <v>9191</v>
      </c>
      <c r="K214" s="7">
        <v>12061</v>
      </c>
      <c r="L214" s="7">
        <v>1650</v>
      </c>
      <c r="M214" s="7">
        <v>7606</v>
      </c>
      <c r="N214" s="7">
        <v>40385</v>
      </c>
      <c r="O214" s="7">
        <v>17</v>
      </c>
      <c r="P214" s="7">
        <v>61</v>
      </c>
      <c r="Q214" s="7" t="s">
        <v>73</v>
      </c>
      <c r="R214" s="6" t="s">
        <v>41</v>
      </c>
      <c r="S214" s="94"/>
      <c r="T214" s="94"/>
      <c r="U214" s="94"/>
      <c r="V214" s="94"/>
      <c r="W214" s="94"/>
      <c r="X214" s="94"/>
      <c r="Y214" s="94"/>
      <c r="Z214" s="94"/>
      <c r="AA214" s="94"/>
    </row>
    <row r="215" spans="1:27" ht="18" customHeight="1">
      <c r="A215" s="4" t="s">
        <v>520</v>
      </c>
      <c r="B215" s="4" t="s">
        <v>521</v>
      </c>
      <c r="C215" s="4">
        <v>49</v>
      </c>
      <c r="D215" s="4" t="s">
        <v>52</v>
      </c>
      <c r="E215" s="8" t="s">
        <v>45</v>
      </c>
      <c r="F215" s="4" t="s">
        <v>108</v>
      </c>
      <c r="G215" s="12">
        <v>42544</v>
      </c>
      <c r="H215" s="4" t="s">
        <v>78</v>
      </c>
      <c r="I215" s="4">
        <v>111787</v>
      </c>
      <c r="J215" s="4">
        <v>42381</v>
      </c>
      <c r="K215" s="4">
        <v>3655</v>
      </c>
      <c r="L215" s="4">
        <v>2757</v>
      </c>
      <c r="M215" s="4">
        <v>3472</v>
      </c>
      <c r="N215" s="4">
        <v>157108</v>
      </c>
      <c r="O215" s="4">
        <v>20</v>
      </c>
      <c r="P215" s="4">
        <v>48</v>
      </c>
      <c r="Q215" s="4" t="s">
        <v>60</v>
      </c>
      <c r="R215" s="10" t="s">
        <v>49</v>
      </c>
      <c r="S215" s="94"/>
      <c r="T215" s="94"/>
      <c r="U215" s="94"/>
      <c r="V215" s="94"/>
      <c r="W215" s="94"/>
      <c r="X215" s="94"/>
      <c r="Y215" s="94"/>
      <c r="Z215" s="94"/>
      <c r="AA215" s="94"/>
    </row>
    <row r="216" spans="1:27" ht="18" customHeight="1">
      <c r="A216" s="7" t="s">
        <v>522</v>
      </c>
      <c r="B216" s="7" t="s">
        <v>523</v>
      </c>
      <c r="C216" s="7">
        <v>47</v>
      </c>
      <c r="D216" s="7" t="s">
        <v>52</v>
      </c>
      <c r="E216" s="13" t="s">
        <v>63</v>
      </c>
      <c r="F216" s="7" t="s">
        <v>102</v>
      </c>
      <c r="G216" s="9">
        <v>43423</v>
      </c>
      <c r="H216" s="7" t="s">
        <v>78</v>
      </c>
      <c r="I216" s="7">
        <v>47983</v>
      </c>
      <c r="J216" s="7">
        <v>18026</v>
      </c>
      <c r="K216" s="7">
        <v>14025</v>
      </c>
      <c r="L216" s="7">
        <v>5640</v>
      </c>
      <c r="M216" s="7">
        <v>3412</v>
      </c>
      <c r="N216" s="7">
        <v>82262</v>
      </c>
      <c r="O216" s="7">
        <v>17</v>
      </c>
      <c r="P216" s="7">
        <v>51</v>
      </c>
      <c r="Q216" s="7" t="s">
        <v>48</v>
      </c>
      <c r="R216" s="13" t="s">
        <v>67</v>
      </c>
      <c r="S216" s="94"/>
      <c r="T216" s="94"/>
      <c r="U216" s="94"/>
      <c r="V216" s="94"/>
      <c r="W216" s="94"/>
      <c r="X216" s="94"/>
      <c r="Y216" s="94"/>
      <c r="Z216" s="94"/>
      <c r="AA216" s="94"/>
    </row>
    <row r="217" spans="1:27" ht="18" customHeight="1">
      <c r="A217" s="4" t="s">
        <v>524</v>
      </c>
      <c r="B217" s="4" t="s">
        <v>525</v>
      </c>
      <c r="C217" s="4">
        <v>43</v>
      </c>
      <c r="D217" s="4" t="s">
        <v>52</v>
      </c>
      <c r="E217" s="11" t="s">
        <v>53</v>
      </c>
      <c r="F217" s="4" t="s">
        <v>208</v>
      </c>
      <c r="G217" s="12">
        <v>42587</v>
      </c>
      <c r="H217" s="4" t="s">
        <v>84</v>
      </c>
      <c r="I217" s="4">
        <v>68406</v>
      </c>
      <c r="J217" s="4">
        <v>30719</v>
      </c>
      <c r="K217" s="4">
        <v>5899</v>
      </c>
      <c r="L217" s="4">
        <v>2841</v>
      </c>
      <c r="M217" s="4">
        <v>3617</v>
      </c>
      <c r="N217" s="4">
        <v>104248</v>
      </c>
      <c r="O217" s="4">
        <v>17</v>
      </c>
      <c r="P217" s="4">
        <v>80</v>
      </c>
      <c r="Q217" s="4" t="s">
        <v>73</v>
      </c>
      <c r="R217" s="6" t="s">
        <v>41</v>
      </c>
      <c r="S217" s="94"/>
      <c r="T217" s="94"/>
      <c r="U217" s="94"/>
      <c r="V217" s="94"/>
      <c r="W217" s="94"/>
      <c r="X217" s="94"/>
      <c r="Y217" s="94"/>
      <c r="Z217" s="94"/>
      <c r="AA217" s="94"/>
    </row>
    <row r="218" spans="1:27" ht="18" customHeight="1">
      <c r="A218" s="7" t="s">
        <v>526</v>
      </c>
      <c r="B218" s="7" t="s">
        <v>527</v>
      </c>
      <c r="C218" s="7">
        <v>48</v>
      </c>
      <c r="D218" s="7" t="s">
        <v>52</v>
      </c>
      <c r="E218" s="14" t="s">
        <v>76</v>
      </c>
      <c r="F218" s="7" t="s">
        <v>99</v>
      </c>
      <c r="G218" s="9">
        <v>43977</v>
      </c>
      <c r="H218" s="7" t="s">
        <v>84</v>
      </c>
      <c r="I218" s="7">
        <v>39160</v>
      </c>
      <c r="J218" s="7">
        <v>17390</v>
      </c>
      <c r="K218" s="7">
        <v>2788</v>
      </c>
      <c r="L218" s="7">
        <v>3161</v>
      </c>
      <c r="M218" s="7">
        <v>4589</v>
      </c>
      <c r="N218" s="7">
        <v>57910</v>
      </c>
      <c r="O218" s="7">
        <v>26</v>
      </c>
      <c r="P218" s="7">
        <v>66</v>
      </c>
      <c r="Q218" s="7" t="s">
        <v>66</v>
      </c>
      <c r="R218" s="6" t="s">
        <v>41</v>
      </c>
      <c r="S218" s="94"/>
      <c r="T218" s="94"/>
      <c r="U218" s="94"/>
      <c r="V218" s="94"/>
      <c r="W218" s="94"/>
      <c r="X218" s="94"/>
      <c r="Y218" s="94"/>
      <c r="Z218" s="94"/>
      <c r="AA218" s="94"/>
    </row>
    <row r="219" spans="1:27" ht="18" customHeight="1">
      <c r="A219" s="4" t="s">
        <v>528</v>
      </c>
      <c r="B219" s="4" t="s">
        <v>529</v>
      </c>
      <c r="C219" s="4">
        <v>26</v>
      </c>
      <c r="D219" s="4" t="s">
        <v>52</v>
      </c>
      <c r="E219" s="8" t="s">
        <v>45</v>
      </c>
      <c r="F219" s="4" t="s">
        <v>81</v>
      </c>
      <c r="G219" s="12">
        <v>43174</v>
      </c>
      <c r="H219" s="4" t="s">
        <v>65</v>
      </c>
      <c r="I219" s="4">
        <v>34661</v>
      </c>
      <c r="J219" s="4">
        <v>15938</v>
      </c>
      <c r="K219" s="4">
        <v>2547</v>
      </c>
      <c r="L219" s="4">
        <v>2415</v>
      </c>
      <c r="M219" s="4">
        <v>1164</v>
      </c>
      <c r="N219" s="4">
        <v>54397</v>
      </c>
      <c r="O219" s="4">
        <v>20</v>
      </c>
      <c r="P219" s="4">
        <v>56</v>
      </c>
      <c r="Q219" s="4" t="s">
        <v>40</v>
      </c>
      <c r="R219" s="6" t="s">
        <v>41</v>
      </c>
      <c r="S219" s="94"/>
      <c r="T219" s="94"/>
      <c r="U219" s="94"/>
      <c r="V219" s="94"/>
      <c r="W219" s="94"/>
      <c r="X219" s="94"/>
      <c r="Y219" s="94"/>
      <c r="Z219" s="94"/>
      <c r="AA219" s="94"/>
    </row>
    <row r="220" spans="1:27" ht="18" customHeight="1">
      <c r="A220" s="7" t="s">
        <v>530</v>
      </c>
      <c r="B220" s="7" t="s">
        <v>531</v>
      </c>
      <c r="C220" s="7">
        <v>32</v>
      </c>
      <c r="D220" s="7" t="s">
        <v>44</v>
      </c>
      <c r="E220" s="10" t="s">
        <v>58</v>
      </c>
      <c r="F220" s="7" t="s">
        <v>96</v>
      </c>
      <c r="G220" s="9">
        <v>44124</v>
      </c>
      <c r="H220" s="7" t="s">
        <v>55</v>
      </c>
      <c r="I220" s="7">
        <v>88273</v>
      </c>
      <c r="J220" s="7">
        <v>38920</v>
      </c>
      <c r="K220" s="7">
        <v>9066</v>
      </c>
      <c r="L220" s="7">
        <v>7720</v>
      </c>
      <c r="M220" s="7">
        <v>6354</v>
      </c>
      <c r="N220" s="7">
        <v>137625</v>
      </c>
      <c r="O220" s="7">
        <v>17</v>
      </c>
      <c r="P220" s="7">
        <v>78</v>
      </c>
      <c r="Q220" s="7" t="s">
        <v>73</v>
      </c>
      <c r="R220" s="6" t="s">
        <v>41</v>
      </c>
      <c r="S220" s="94"/>
      <c r="T220" s="94"/>
      <c r="U220" s="94"/>
      <c r="V220" s="94"/>
      <c r="W220" s="94"/>
      <c r="X220" s="94"/>
      <c r="Y220" s="94"/>
      <c r="Z220" s="94"/>
      <c r="AA220" s="94"/>
    </row>
    <row r="221" spans="1:27" ht="18" customHeight="1">
      <c r="A221" s="4" t="s">
        <v>532</v>
      </c>
      <c r="B221" s="4" t="s">
        <v>533</v>
      </c>
      <c r="C221" s="4">
        <v>45</v>
      </c>
      <c r="D221" s="4" t="s">
        <v>52</v>
      </c>
      <c r="E221" s="5" t="s">
        <v>111</v>
      </c>
      <c r="F221" s="4" t="s">
        <v>217</v>
      </c>
      <c r="G221" s="12">
        <v>43593</v>
      </c>
      <c r="H221" s="4" t="s">
        <v>55</v>
      </c>
      <c r="I221" s="4">
        <v>37571</v>
      </c>
      <c r="J221" s="4">
        <v>11644</v>
      </c>
      <c r="K221" s="4">
        <v>11367</v>
      </c>
      <c r="L221" s="4">
        <v>4502</v>
      </c>
      <c r="M221" s="4">
        <v>7880</v>
      </c>
      <c r="N221" s="4">
        <v>57204</v>
      </c>
      <c r="O221" s="4">
        <v>22</v>
      </c>
      <c r="P221" s="4">
        <v>49</v>
      </c>
      <c r="Q221" s="4" t="s">
        <v>48</v>
      </c>
      <c r="R221" s="6" t="s">
        <v>41</v>
      </c>
      <c r="S221" s="94"/>
      <c r="T221" s="94"/>
      <c r="U221" s="94"/>
      <c r="V221" s="94"/>
      <c r="W221" s="94"/>
      <c r="X221" s="94"/>
      <c r="Y221" s="94"/>
      <c r="Z221" s="94"/>
      <c r="AA221" s="94"/>
    </row>
    <row r="222" spans="1:27" ht="18" customHeight="1">
      <c r="A222" s="7" t="s">
        <v>534</v>
      </c>
      <c r="B222" s="7" t="s">
        <v>535</v>
      </c>
      <c r="C222" s="7">
        <v>52</v>
      </c>
      <c r="D222" s="7" t="s">
        <v>44</v>
      </c>
      <c r="E222" s="5" t="s">
        <v>111</v>
      </c>
      <c r="F222" s="7" t="s">
        <v>128</v>
      </c>
      <c r="G222" s="9">
        <v>42376</v>
      </c>
      <c r="H222" s="7" t="s">
        <v>84</v>
      </c>
      <c r="I222" s="7">
        <v>47391</v>
      </c>
      <c r="J222" s="7">
        <v>20266</v>
      </c>
      <c r="K222" s="7">
        <v>3342</v>
      </c>
      <c r="L222" s="7">
        <v>3879</v>
      </c>
      <c r="M222" s="7">
        <v>7912</v>
      </c>
      <c r="N222" s="7">
        <v>66966</v>
      </c>
      <c r="O222" s="7">
        <v>16</v>
      </c>
      <c r="P222" s="7">
        <v>59</v>
      </c>
      <c r="Q222" s="7" t="s">
        <v>48</v>
      </c>
      <c r="R222" s="10" t="s">
        <v>49</v>
      </c>
      <c r="S222" s="94"/>
      <c r="T222" s="94"/>
      <c r="U222" s="94"/>
      <c r="V222" s="94"/>
      <c r="W222" s="94"/>
      <c r="X222" s="94"/>
      <c r="Y222" s="94"/>
      <c r="Z222" s="94"/>
      <c r="AA222" s="94"/>
    </row>
    <row r="223" spans="1:27" ht="18" customHeight="1">
      <c r="A223" s="4" t="s">
        <v>536</v>
      </c>
      <c r="B223" s="4" t="s">
        <v>537</v>
      </c>
      <c r="C223" s="4">
        <v>25</v>
      </c>
      <c r="D223" s="4" t="s">
        <v>44</v>
      </c>
      <c r="E223" s="5" t="s">
        <v>111</v>
      </c>
      <c r="F223" s="4" t="s">
        <v>128</v>
      </c>
      <c r="G223" s="4" t="s">
        <v>538</v>
      </c>
      <c r="H223" s="4" t="s">
        <v>196</v>
      </c>
      <c r="I223" s="4">
        <v>49455</v>
      </c>
      <c r="J223" s="4">
        <v>19246</v>
      </c>
      <c r="K223" s="4">
        <v>6313</v>
      </c>
      <c r="L223" s="4">
        <v>3602</v>
      </c>
      <c r="M223" s="4">
        <v>4809</v>
      </c>
      <c r="N223" s="4">
        <v>73807</v>
      </c>
      <c r="O223" s="4">
        <v>19</v>
      </c>
      <c r="P223" s="4">
        <v>54</v>
      </c>
      <c r="Q223" s="4" t="s">
        <v>40</v>
      </c>
      <c r="R223" s="10" t="s">
        <v>49</v>
      </c>
      <c r="S223" s="94"/>
      <c r="T223" s="94"/>
      <c r="U223" s="94"/>
      <c r="V223" s="94"/>
      <c r="W223" s="94"/>
      <c r="X223" s="94"/>
      <c r="Y223" s="94"/>
      <c r="Z223" s="94"/>
      <c r="AA223" s="94"/>
    </row>
    <row r="224" spans="1:27" ht="18" customHeight="1">
      <c r="A224" s="7" t="s">
        <v>539</v>
      </c>
      <c r="B224" s="7" t="s">
        <v>540</v>
      </c>
      <c r="C224" s="7">
        <v>37</v>
      </c>
      <c r="D224" s="7" t="s">
        <v>44</v>
      </c>
      <c r="E224" s="14" t="s">
        <v>76</v>
      </c>
      <c r="F224" s="7" t="s">
        <v>226</v>
      </c>
      <c r="G224" s="9">
        <v>45132</v>
      </c>
      <c r="H224" s="7" t="s">
        <v>84</v>
      </c>
      <c r="I224" s="7">
        <v>102296</v>
      </c>
      <c r="J224" s="7">
        <v>35344</v>
      </c>
      <c r="K224" s="7">
        <v>2999</v>
      </c>
      <c r="L224" s="7">
        <v>6887</v>
      </c>
      <c r="M224" s="7">
        <v>4171</v>
      </c>
      <c r="N224" s="7">
        <v>143355</v>
      </c>
      <c r="O224" s="7">
        <v>23</v>
      </c>
      <c r="P224" s="7">
        <v>66</v>
      </c>
      <c r="Q224" s="7" t="s">
        <v>40</v>
      </c>
      <c r="R224" s="6" t="s">
        <v>41</v>
      </c>
      <c r="S224" s="94"/>
      <c r="T224" s="94"/>
      <c r="U224" s="94"/>
      <c r="V224" s="94"/>
      <c r="W224" s="94"/>
      <c r="X224" s="94"/>
      <c r="Y224" s="94"/>
      <c r="Z224" s="94"/>
      <c r="AA224" s="94"/>
    </row>
    <row r="225" spans="1:27" ht="18" customHeight="1">
      <c r="A225" s="4" t="s">
        <v>541</v>
      </c>
      <c r="B225" s="4" t="s">
        <v>542</v>
      </c>
      <c r="C225" s="4">
        <v>34</v>
      </c>
      <c r="D225" s="4" t="s">
        <v>44</v>
      </c>
      <c r="E225" s="10" t="s">
        <v>58</v>
      </c>
      <c r="F225" s="4" t="s">
        <v>59</v>
      </c>
      <c r="G225" s="12">
        <v>42588</v>
      </c>
      <c r="H225" s="4" t="s">
        <v>78</v>
      </c>
      <c r="I225" s="4">
        <v>46910</v>
      </c>
      <c r="J225" s="4">
        <v>23194</v>
      </c>
      <c r="K225" s="4">
        <v>5157</v>
      </c>
      <c r="L225" s="4">
        <v>1033</v>
      </c>
      <c r="M225" s="4">
        <v>1349</v>
      </c>
      <c r="N225" s="4">
        <v>74945</v>
      </c>
      <c r="O225" s="4">
        <v>21</v>
      </c>
      <c r="P225" s="4">
        <v>45</v>
      </c>
      <c r="Q225" s="4" t="s">
        <v>60</v>
      </c>
      <c r="R225" s="10" t="s">
        <v>49</v>
      </c>
      <c r="S225" s="94"/>
      <c r="T225" s="94"/>
      <c r="U225" s="94"/>
      <c r="V225" s="94"/>
      <c r="W225" s="94"/>
      <c r="X225" s="94"/>
      <c r="Y225" s="94"/>
      <c r="Z225" s="94"/>
      <c r="AA225" s="94"/>
    </row>
    <row r="226" spans="1:27" ht="18" customHeight="1">
      <c r="A226" s="7" t="s">
        <v>543</v>
      </c>
      <c r="B226" s="7" t="s">
        <v>544</v>
      </c>
      <c r="C226" s="7">
        <v>29</v>
      </c>
      <c r="D226" s="7" t="s">
        <v>44</v>
      </c>
      <c r="E226" s="11" t="s">
        <v>53</v>
      </c>
      <c r="F226" s="7" t="s">
        <v>118</v>
      </c>
      <c r="G226" s="9">
        <v>42569</v>
      </c>
      <c r="H226" s="7" t="s">
        <v>84</v>
      </c>
      <c r="I226" s="7">
        <v>77082</v>
      </c>
      <c r="J226" s="7">
        <v>31635</v>
      </c>
      <c r="K226" s="7">
        <v>6525</v>
      </c>
      <c r="L226" s="7">
        <v>4257</v>
      </c>
      <c r="M226" s="7">
        <v>4753</v>
      </c>
      <c r="N226" s="7">
        <v>114746</v>
      </c>
      <c r="O226" s="7">
        <v>15</v>
      </c>
      <c r="P226" s="7">
        <v>90</v>
      </c>
      <c r="Q226" s="7" t="s">
        <v>48</v>
      </c>
      <c r="R226" s="6" t="s">
        <v>41</v>
      </c>
      <c r="S226" s="94"/>
      <c r="T226" s="94"/>
      <c r="U226" s="94"/>
      <c r="V226" s="94"/>
      <c r="W226" s="94"/>
      <c r="X226" s="94"/>
      <c r="Y226" s="94"/>
      <c r="Z226" s="94"/>
      <c r="AA226" s="94"/>
    </row>
    <row r="227" spans="1:27" ht="18" customHeight="1">
      <c r="A227" s="4" t="s">
        <v>545</v>
      </c>
      <c r="B227" s="4" t="s">
        <v>546</v>
      </c>
      <c r="C227" s="4">
        <v>53</v>
      </c>
      <c r="D227" s="4" t="s">
        <v>44</v>
      </c>
      <c r="E227" s="10" t="s">
        <v>58</v>
      </c>
      <c r="F227" s="4" t="s">
        <v>96</v>
      </c>
      <c r="G227" s="12">
        <v>42668</v>
      </c>
      <c r="H227" s="4" t="s">
        <v>90</v>
      </c>
      <c r="I227" s="4">
        <v>38237</v>
      </c>
      <c r="J227" s="4">
        <v>17480</v>
      </c>
      <c r="K227" s="4">
        <v>10775</v>
      </c>
      <c r="L227" s="4">
        <v>7210</v>
      </c>
      <c r="M227" s="4">
        <v>3816</v>
      </c>
      <c r="N227" s="4">
        <v>69886</v>
      </c>
      <c r="O227" s="4">
        <v>21</v>
      </c>
      <c r="P227" s="4">
        <v>56</v>
      </c>
      <c r="Q227" s="4" t="s">
        <v>73</v>
      </c>
      <c r="R227" s="13" t="s">
        <v>67</v>
      </c>
      <c r="S227" s="94"/>
      <c r="T227" s="94"/>
      <c r="U227" s="94"/>
      <c r="V227" s="94"/>
      <c r="W227" s="94"/>
      <c r="X227" s="94"/>
      <c r="Y227" s="94"/>
      <c r="Z227" s="94"/>
      <c r="AA227" s="94"/>
    </row>
    <row r="228" spans="1:27" ht="18" customHeight="1">
      <c r="A228" s="7" t="s">
        <v>547</v>
      </c>
      <c r="B228" s="7" t="s">
        <v>548</v>
      </c>
      <c r="C228" s="7">
        <v>52</v>
      </c>
      <c r="D228" s="7" t="s">
        <v>52</v>
      </c>
      <c r="E228" s="11" t="s">
        <v>53</v>
      </c>
      <c r="F228" s="7" t="s">
        <v>87</v>
      </c>
      <c r="G228" s="9">
        <v>43028</v>
      </c>
      <c r="H228" s="7" t="s">
        <v>65</v>
      </c>
      <c r="I228" s="7"/>
      <c r="J228" s="7">
        <v>50119</v>
      </c>
      <c r="K228" s="7">
        <v>2635</v>
      </c>
      <c r="L228" s="7">
        <v>3242</v>
      </c>
      <c r="M228" s="7">
        <v>3715</v>
      </c>
      <c r="N228" s="7"/>
      <c r="O228" s="7">
        <v>26</v>
      </c>
      <c r="P228" s="7">
        <v>55</v>
      </c>
      <c r="Q228" s="7" t="s">
        <v>60</v>
      </c>
      <c r="R228" s="6" t="s">
        <v>41</v>
      </c>
      <c r="S228" s="94"/>
      <c r="T228" s="94"/>
      <c r="U228" s="94"/>
      <c r="V228" s="94"/>
      <c r="W228" s="94"/>
      <c r="X228" s="94"/>
      <c r="Y228" s="94"/>
      <c r="Z228" s="94"/>
      <c r="AA228" s="94"/>
    </row>
    <row r="229" spans="1:27" ht="18" customHeight="1">
      <c r="A229" s="4" t="s">
        <v>549</v>
      </c>
      <c r="B229" s="4" t="s">
        <v>550</v>
      </c>
      <c r="C229" s="4">
        <v>39</v>
      </c>
      <c r="D229" s="4" t="s">
        <v>44</v>
      </c>
      <c r="E229" s="11" t="s">
        <v>53</v>
      </c>
      <c r="F229" s="4" t="s">
        <v>54</v>
      </c>
      <c r="G229" s="12">
        <v>44917</v>
      </c>
      <c r="H229" s="4" t="s">
        <v>47</v>
      </c>
      <c r="I229" s="4">
        <v>37873</v>
      </c>
      <c r="J229" s="4">
        <v>18728</v>
      </c>
      <c r="K229" s="4">
        <v>5734</v>
      </c>
      <c r="L229" s="4">
        <v>1100</v>
      </c>
      <c r="M229" s="4">
        <v>3461</v>
      </c>
      <c r="N229" s="4">
        <v>59974</v>
      </c>
      <c r="O229" s="4">
        <v>26</v>
      </c>
      <c r="P229" s="4">
        <v>68</v>
      </c>
      <c r="Q229" s="4" t="s">
        <v>40</v>
      </c>
      <c r="R229" s="6" t="s">
        <v>41</v>
      </c>
      <c r="S229" s="94"/>
      <c r="T229" s="94"/>
      <c r="U229" s="94"/>
      <c r="V229" s="94"/>
      <c r="W229" s="94"/>
      <c r="X229" s="94"/>
      <c r="Y229" s="94"/>
      <c r="Z229" s="94"/>
      <c r="AA229" s="94"/>
    </row>
    <row r="230" spans="1:27" ht="18" customHeight="1">
      <c r="A230" s="7" t="s">
        <v>551</v>
      </c>
      <c r="B230" s="7" t="s">
        <v>114</v>
      </c>
      <c r="C230" s="7">
        <v>26</v>
      </c>
      <c r="D230" s="7" t="s">
        <v>52</v>
      </c>
      <c r="E230" s="13" t="s">
        <v>63</v>
      </c>
      <c r="F230" s="7" t="s">
        <v>115</v>
      </c>
      <c r="G230" s="9">
        <v>43305</v>
      </c>
      <c r="H230" s="7" t="s">
        <v>65</v>
      </c>
      <c r="I230" s="7">
        <v>88499</v>
      </c>
      <c r="J230" s="7">
        <v>39993</v>
      </c>
      <c r="K230" s="7">
        <v>8126</v>
      </c>
      <c r="L230" s="7">
        <v>6725</v>
      </c>
      <c r="M230" s="7">
        <v>1460</v>
      </c>
      <c r="N230" s="7">
        <v>141883</v>
      </c>
      <c r="O230" s="7">
        <v>23</v>
      </c>
      <c r="P230" s="7">
        <v>90</v>
      </c>
      <c r="Q230" s="7" t="s">
        <v>73</v>
      </c>
      <c r="R230" s="10" t="s">
        <v>49</v>
      </c>
      <c r="S230" s="94"/>
      <c r="T230" s="94"/>
      <c r="U230" s="94"/>
      <c r="V230" s="94"/>
      <c r="W230" s="94"/>
      <c r="X230" s="94"/>
      <c r="Y230" s="94"/>
      <c r="Z230" s="94"/>
      <c r="AA230" s="94"/>
    </row>
    <row r="231" spans="1:27" ht="18" customHeight="1">
      <c r="A231" s="4" t="s">
        <v>552</v>
      </c>
      <c r="B231" s="4" t="s">
        <v>553</v>
      </c>
      <c r="C231" s="4">
        <v>34</v>
      </c>
      <c r="D231" s="4" t="s">
        <v>44</v>
      </c>
      <c r="E231" s="10" t="s">
        <v>58</v>
      </c>
      <c r="F231" s="4" t="s">
        <v>96</v>
      </c>
      <c r="G231" s="12">
        <v>42852</v>
      </c>
      <c r="H231" s="4" t="s">
        <v>65</v>
      </c>
      <c r="I231" s="4">
        <v>51309</v>
      </c>
      <c r="J231" s="4">
        <v>23982</v>
      </c>
      <c r="K231" s="4">
        <v>6087</v>
      </c>
      <c r="L231" s="4">
        <v>270</v>
      </c>
      <c r="M231" s="4">
        <v>4739</v>
      </c>
      <c r="N231" s="4">
        <v>76909</v>
      </c>
      <c r="O231" s="4">
        <v>15</v>
      </c>
      <c r="P231" s="4">
        <v>98</v>
      </c>
      <c r="Q231" s="4" t="s">
        <v>48</v>
      </c>
      <c r="R231" s="6" t="s">
        <v>41</v>
      </c>
      <c r="S231" s="94"/>
      <c r="T231" s="94"/>
      <c r="U231" s="94"/>
      <c r="V231" s="94"/>
      <c r="W231" s="94"/>
      <c r="X231" s="94"/>
      <c r="Y231" s="94"/>
      <c r="Z231" s="94"/>
      <c r="AA231" s="94"/>
    </row>
    <row r="232" spans="1:27" ht="18" customHeight="1">
      <c r="A232" s="7" t="s">
        <v>554</v>
      </c>
      <c r="B232" s="7" t="s">
        <v>555</v>
      </c>
      <c r="C232" s="7">
        <v>44</v>
      </c>
      <c r="D232" s="7" t="s">
        <v>44</v>
      </c>
      <c r="E232" s="5" t="s">
        <v>111</v>
      </c>
      <c r="F232" s="7" t="s">
        <v>112</v>
      </c>
      <c r="G232" s="9">
        <v>42106</v>
      </c>
      <c r="H232" s="7" t="s">
        <v>196</v>
      </c>
      <c r="I232" s="7">
        <v>89066</v>
      </c>
      <c r="J232" s="7">
        <v>37302</v>
      </c>
      <c r="K232" s="7">
        <v>4909</v>
      </c>
      <c r="L232" s="7">
        <v>7868</v>
      </c>
      <c r="M232" s="7">
        <v>4887</v>
      </c>
      <c r="N232" s="7">
        <v>134258</v>
      </c>
      <c r="O232" s="7">
        <v>24</v>
      </c>
      <c r="P232" s="7">
        <v>75</v>
      </c>
      <c r="Q232" s="7" t="s">
        <v>40</v>
      </c>
      <c r="R232" s="6" t="s">
        <v>41</v>
      </c>
      <c r="S232" s="94"/>
      <c r="T232" s="94"/>
      <c r="U232" s="94"/>
      <c r="V232" s="94"/>
      <c r="W232" s="94"/>
      <c r="X232" s="94"/>
      <c r="Y232" s="94"/>
      <c r="Z232" s="94"/>
      <c r="AA232" s="94"/>
    </row>
    <row r="233" spans="1:27" ht="18" customHeight="1">
      <c r="A233" s="4" t="s">
        <v>556</v>
      </c>
      <c r="B233" s="4" t="s">
        <v>557</v>
      </c>
      <c r="C233" s="4">
        <v>39</v>
      </c>
      <c r="D233" s="4" t="s">
        <v>52</v>
      </c>
      <c r="E233" s="11" t="s">
        <v>53</v>
      </c>
      <c r="F233" s="4" t="s">
        <v>118</v>
      </c>
      <c r="G233" s="12">
        <v>44202</v>
      </c>
      <c r="H233" s="4" t="s">
        <v>47</v>
      </c>
      <c r="I233" s="4">
        <v>100007</v>
      </c>
      <c r="J233" s="4">
        <v>45600</v>
      </c>
      <c r="K233" s="4">
        <v>5511</v>
      </c>
      <c r="L233" s="4">
        <v>7021</v>
      </c>
      <c r="M233" s="4">
        <v>2813</v>
      </c>
      <c r="N233" s="4">
        <v>155326</v>
      </c>
      <c r="O233" s="4">
        <v>25</v>
      </c>
      <c r="P233" s="4">
        <v>54</v>
      </c>
      <c r="Q233" s="4" t="s">
        <v>40</v>
      </c>
      <c r="R233" s="6" t="s">
        <v>41</v>
      </c>
      <c r="S233" s="94"/>
      <c r="T233" s="94"/>
      <c r="U233" s="94"/>
      <c r="V233" s="94"/>
      <c r="W233" s="94"/>
      <c r="X233" s="94"/>
      <c r="Y233" s="94"/>
      <c r="Z233" s="94"/>
      <c r="AA233" s="94"/>
    </row>
    <row r="234" spans="1:27" ht="18" customHeight="1">
      <c r="A234" s="7" t="s">
        <v>558</v>
      </c>
      <c r="B234" s="7" t="s">
        <v>559</v>
      </c>
      <c r="C234" s="7">
        <v>49</v>
      </c>
      <c r="D234" s="7" t="s">
        <v>44</v>
      </c>
      <c r="E234" s="5" t="s">
        <v>111</v>
      </c>
      <c r="F234" s="7" t="s">
        <v>128</v>
      </c>
      <c r="G234" s="9">
        <v>43034</v>
      </c>
      <c r="H234" s="7" t="s">
        <v>84</v>
      </c>
      <c r="I234" s="7">
        <v>26109</v>
      </c>
      <c r="J234" s="7">
        <v>9001</v>
      </c>
      <c r="K234" s="7">
        <v>11967</v>
      </c>
      <c r="L234" s="7">
        <v>6595</v>
      </c>
      <c r="M234" s="7">
        <v>3502</v>
      </c>
      <c r="N234" s="7">
        <v>50170</v>
      </c>
      <c r="O234" s="7">
        <v>26</v>
      </c>
      <c r="P234" s="7">
        <v>85</v>
      </c>
      <c r="Q234" s="7" t="s">
        <v>73</v>
      </c>
      <c r="R234" s="6" t="s">
        <v>41</v>
      </c>
      <c r="S234" s="94"/>
      <c r="T234" s="94"/>
      <c r="U234" s="94"/>
      <c r="V234" s="94"/>
      <c r="W234" s="94"/>
      <c r="X234" s="94"/>
      <c r="Y234" s="94"/>
      <c r="Z234" s="94"/>
      <c r="AA234" s="94"/>
    </row>
    <row r="235" spans="1:27" ht="18" customHeight="1">
      <c r="A235" s="4" t="s">
        <v>560</v>
      </c>
      <c r="B235" s="4" t="s">
        <v>464</v>
      </c>
      <c r="C235" s="4">
        <v>41</v>
      </c>
      <c r="D235" s="4" t="s">
        <v>44</v>
      </c>
      <c r="E235" s="5" t="s">
        <v>111</v>
      </c>
      <c r="F235" s="4" t="s">
        <v>217</v>
      </c>
      <c r="G235" s="12">
        <v>45212</v>
      </c>
      <c r="H235" s="4" t="s">
        <v>47</v>
      </c>
      <c r="I235" s="4">
        <v>101609</v>
      </c>
      <c r="J235" s="4">
        <v>32562</v>
      </c>
      <c r="K235" s="4">
        <v>10380</v>
      </c>
      <c r="L235" s="4">
        <v>5426</v>
      </c>
      <c r="M235" s="4">
        <v>7908</v>
      </c>
      <c r="N235" s="4">
        <v>142069</v>
      </c>
      <c r="O235" s="4">
        <v>20</v>
      </c>
      <c r="P235" s="4">
        <v>75</v>
      </c>
      <c r="Q235" s="4" t="s">
        <v>60</v>
      </c>
      <c r="R235" s="6" t="s">
        <v>41</v>
      </c>
      <c r="S235" s="94"/>
      <c r="T235" s="94"/>
      <c r="U235" s="94"/>
      <c r="V235" s="94"/>
      <c r="W235" s="94"/>
      <c r="X235" s="94"/>
      <c r="Y235" s="94"/>
      <c r="Z235" s="94"/>
      <c r="AA235" s="94"/>
    </row>
    <row r="236" spans="1:27" ht="18" customHeight="1">
      <c r="A236" s="7" t="s">
        <v>561</v>
      </c>
      <c r="B236" s="7" t="s">
        <v>562</v>
      </c>
      <c r="C236" s="7">
        <v>25</v>
      </c>
      <c r="D236" s="7" t="s">
        <v>52</v>
      </c>
      <c r="E236" s="11" t="s">
        <v>53</v>
      </c>
      <c r="F236" s="7" t="s">
        <v>54</v>
      </c>
      <c r="G236" s="9">
        <v>43606</v>
      </c>
      <c r="H236" s="7" t="s">
        <v>78</v>
      </c>
      <c r="I236" s="7">
        <v>118204</v>
      </c>
      <c r="J236" s="7">
        <v>57972</v>
      </c>
      <c r="K236" s="7">
        <v>12673</v>
      </c>
      <c r="L236" s="7">
        <v>2447</v>
      </c>
      <c r="M236" s="7">
        <v>2543</v>
      </c>
      <c r="N236" s="7">
        <v>188753</v>
      </c>
      <c r="O236" s="7">
        <v>17</v>
      </c>
      <c r="P236" s="7">
        <v>73</v>
      </c>
      <c r="Q236" s="7" t="s">
        <v>60</v>
      </c>
      <c r="R236" s="13" t="s">
        <v>67</v>
      </c>
      <c r="S236" s="94"/>
      <c r="T236" s="94"/>
      <c r="U236" s="94"/>
      <c r="V236" s="94"/>
      <c r="W236" s="94"/>
      <c r="X236" s="94"/>
      <c r="Y236" s="94"/>
      <c r="Z236" s="94"/>
      <c r="AA236" s="94"/>
    </row>
    <row r="237" spans="1:27" ht="18" customHeight="1">
      <c r="A237" s="4" t="s">
        <v>563</v>
      </c>
      <c r="B237" s="4" t="s">
        <v>564</v>
      </c>
      <c r="C237" s="4">
        <v>43</v>
      </c>
      <c r="D237" s="4" t="s">
        <v>52</v>
      </c>
      <c r="E237" s="14" t="s">
        <v>76</v>
      </c>
      <c r="F237" s="4" t="s">
        <v>154</v>
      </c>
      <c r="G237" s="12">
        <v>42324</v>
      </c>
      <c r="H237" s="4" t="s">
        <v>47</v>
      </c>
      <c r="I237" s="4">
        <v>63745</v>
      </c>
      <c r="J237" s="4">
        <v>22431</v>
      </c>
      <c r="K237" s="4">
        <v>8857</v>
      </c>
      <c r="L237" s="4">
        <v>3314</v>
      </c>
      <c r="M237" s="4">
        <v>4180</v>
      </c>
      <c r="N237" s="4">
        <v>94167</v>
      </c>
      <c r="O237" s="4">
        <v>26</v>
      </c>
      <c r="P237" s="4">
        <v>42</v>
      </c>
      <c r="Q237" s="4" t="s">
        <v>48</v>
      </c>
      <c r="R237" s="10" t="s">
        <v>49</v>
      </c>
      <c r="S237" s="94"/>
      <c r="T237" s="94"/>
      <c r="U237" s="94"/>
      <c r="V237" s="94"/>
      <c r="W237" s="94"/>
      <c r="X237" s="94"/>
      <c r="Y237" s="94"/>
      <c r="Z237" s="94"/>
      <c r="AA237" s="94"/>
    </row>
    <row r="238" spans="1:27" ht="18" customHeight="1">
      <c r="A238" s="7" t="s">
        <v>565</v>
      </c>
      <c r="B238" s="7" t="s">
        <v>566</v>
      </c>
      <c r="C238" s="7">
        <v>38</v>
      </c>
      <c r="D238" s="7" t="s">
        <v>52</v>
      </c>
      <c r="E238" s="14" t="s">
        <v>76</v>
      </c>
      <c r="F238" s="7" t="s">
        <v>77</v>
      </c>
      <c r="G238" s="9">
        <v>44084</v>
      </c>
      <c r="H238" s="7" t="s">
        <v>47</v>
      </c>
      <c r="I238" s="7">
        <v>47280</v>
      </c>
      <c r="J238" s="7">
        <v>22133</v>
      </c>
      <c r="K238" s="7">
        <v>11146</v>
      </c>
      <c r="L238" s="7">
        <v>1483</v>
      </c>
      <c r="M238" s="7">
        <v>3406</v>
      </c>
      <c r="N238" s="7">
        <v>78636</v>
      </c>
      <c r="O238" s="7">
        <v>16</v>
      </c>
      <c r="P238" s="7">
        <v>70</v>
      </c>
      <c r="Q238" s="7" t="s">
        <v>60</v>
      </c>
      <c r="R238" s="13" t="s">
        <v>67</v>
      </c>
      <c r="S238" s="94"/>
      <c r="T238" s="94"/>
      <c r="U238" s="94"/>
      <c r="V238" s="94"/>
      <c r="W238" s="94"/>
      <c r="X238" s="94"/>
      <c r="Y238" s="94"/>
      <c r="Z238" s="94"/>
      <c r="AA238" s="94"/>
    </row>
    <row r="239" spans="1:27" ht="18" customHeight="1">
      <c r="A239" s="4" t="s">
        <v>567</v>
      </c>
      <c r="B239" s="4" t="s">
        <v>568</v>
      </c>
      <c r="C239" s="4">
        <v>29</v>
      </c>
      <c r="D239" s="4" t="s">
        <v>44</v>
      </c>
      <c r="E239" s="14" t="s">
        <v>76</v>
      </c>
      <c r="F239" s="4" t="s">
        <v>99</v>
      </c>
      <c r="G239" s="12">
        <v>43259</v>
      </c>
      <c r="H239" s="4" t="s">
        <v>84</v>
      </c>
      <c r="I239" s="4">
        <v>65250</v>
      </c>
      <c r="J239" s="4">
        <v>25062</v>
      </c>
      <c r="K239" s="4">
        <v>7428</v>
      </c>
      <c r="L239" s="4">
        <v>3044</v>
      </c>
      <c r="M239" s="4">
        <v>3134</v>
      </c>
      <c r="N239" s="4">
        <v>97650</v>
      </c>
      <c r="O239" s="4">
        <v>24</v>
      </c>
      <c r="P239" s="4">
        <v>58</v>
      </c>
      <c r="Q239" s="4" t="s">
        <v>48</v>
      </c>
      <c r="R239" s="6" t="s">
        <v>41</v>
      </c>
      <c r="S239" s="94"/>
      <c r="T239" s="94"/>
      <c r="U239" s="94"/>
      <c r="V239" s="94"/>
      <c r="W239" s="94"/>
      <c r="X239" s="94"/>
      <c r="Y239" s="94"/>
      <c r="Z239" s="94"/>
      <c r="AA239" s="94"/>
    </row>
    <row r="240" spans="1:27" ht="18" customHeight="1">
      <c r="A240" s="7" t="s">
        <v>569</v>
      </c>
      <c r="B240" s="7" t="s">
        <v>570</v>
      </c>
      <c r="C240" s="7">
        <v>30</v>
      </c>
      <c r="D240" s="7" t="s">
        <v>52</v>
      </c>
      <c r="E240" s="10" t="s">
        <v>58</v>
      </c>
      <c r="F240" s="7" t="s">
        <v>96</v>
      </c>
      <c r="G240" s="9">
        <v>44668</v>
      </c>
      <c r="H240" s="7" t="s">
        <v>196</v>
      </c>
      <c r="I240" s="7">
        <v>40704</v>
      </c>
      <c r="J240" s="7">
        <v>19273</v>
      </c>
      <c r="K240" s="7">
        <v>8253</v>
      </c>
      <c r="L240" s="7">
        <v>4340</v>
      </c>
      <c r="M240" s="7">
        <v>3444</v>
      </c>
      <c r="N240" s="7">
        <v>69126</v>
      </c>
      <c r="O240" s="7">
        <v>21</v>
      </c>
      <c r="P240" s="7">
        <v>43</v>
      </c>
      <c r="Q240" s="7" t="s">
        <v>66</v>
      </c>
      <c r="R240" s="6" t="s">
        <v>41</v>
      </c>
      <c r="S240" s="94"/>
      <c r="T240" s="94"/>
      <c r="U240" s="94"/>
      <c r="V240" s="94"/>
      <c r="W240" s="94"/>
      <c r="X240" s="94"/>
      <c r="Y240" s="94"/>
      <c r="Z240" s="94"/>
      <c r="AA240" s="94"/>
    </row>
    <row r="241" spans="1:27" ht="18" customHeight="1">
      <c r="A241" s="4" t="s">
        <v>571</v>
      </c>
      <c r="B241" s="4" t="s">
        <v>572</v>
      </c>
      <c r="C241" s="4">
        <v>39</v>
      </c>
      <c r="D241" s="4" t="s">
        <v>44</v>
      </c>
      <c r="E241" s="13" t="s">
        <v>63</v>
      </c>
      <c r="F241" s="4" t="s">
        <v>102</v>
      </c>
      <c r="G241" s="12">
        <v>42782</v>
      </c>
      <c r="H241" s="4" t="s">
        <v>196</v>
      </c>
      <c r="I241" s="4">
        <v>68598</v>
      </c>
      <c r="J241" s="4">
        <v>29237</v>
      </c>
      <c r="K241" s="4">
        <v>4897</v>
      </c>
      <c r="L241" s="4">
        <v>2567</v>
      </c>
      <c r="M241" s="4">
        <v>6197</v>
      </c>
      <c r="N241" s="4">
        <v>99102</v>
      </c>
      <c r="O241" s="4">
        <v>15</v>
      </c>
      <c r="P241" s="4">
        <v>40</v>
      </c>
      <c r="Q241" s="4" t="s">
        <v>73</v>
      </c>
      <c r="R241" s="6" t="s">
        <v>41</v>
      </c>
      <c r="S241" s="94"/>
      <c r="T241" s="94"/>
      <c r="U241" s="94"/>
      <c r="V241" s="94"/>
      <c r="W241" s="94"/>
      <c r="X241" s="94"/>
      <c r="Y241" s="94"/>
      <c r="Z241" s="94"/>
      <c r="AA241" s="94"/>
    </row>
    <row r="242" spans="1:27" ht="18" customHeight="1">
      <c r="A242" s="7" t="s">
        <v>573</v>
      </c>
      <c r="B242" s="7" t="s">
        <v>574</v>
      </c>
      <c r="C242" s="7">
        <v>34</v>
      </c>
      <c r="D242" s="7" t="s">
        <v>52</v>
      </c>
      <c r="E242" s="5" t="s">
        <v>111</v>
      </c>
      <c r="F242" s="7" t="s">
        <v>112</v>
      </c>
      <c r="G242" s="9">
        <v>43022</v>
      </c>
      <c r="H242" s="7" t="s">
        <v>47</v>
      </c>
      <c r="I242" s="7">
        <v>108032</v>
      </c>
      <c r="J242" s="7">
        <v>41688</v>
      </c>
      <c r="K242" s="7">
        <v>9029</v>
      </c>
      <c r="L242" s="7">
        <v>7907</v>
      </c>
      <c r="M242" s="7">
        <v>4910</v>
      </c>
      <c r="N242" s="7">
        <v>161746</v>
      </c>
      <c r="O242" s="7">
        <v>21</v>
      </c>
      <c r="P242" s="7">
        <v>40</v>
      </c>
      <c r="Q242" s="7" t="s">
        <v>48</v>
      </c>
      <c r="R242" s="6" t="s">
        <v>41</v>
      </c>
      <c r="S242" s="94"/>
      <c r="T242" s="94"/>
      <c r="U242" s="94"/>
      <c r="V242" s="94"/>
      <c r="W242" s="94"/>
      <c r="X242" s="94"/>
      <c r="Y242" s="94"/>
      <c r="Z242" s="94"/>
      <c r="AA242" s="94"/>
    </row>
    <row r="243" spans="1:27" ht="18" customHeight="1">
      <c r="A243" s="4" t="s">
        <v>575</v>
      </c>
      <c r="B243" s="4" t="s">
        <v>576</v>
      </c>
      <c r="C243" s="4">
        <v>32</v>
      </c>
      <c r="D243" s="4" t="s">
        <v>35</v>
      </c>
      <c r="E243" s="13" t="s">
        <v>577</v>
      </c>
      <c r="F243" s="4" t="s">
        <v>64</v>
      </c>
      <c r="G243" s="4" t="s">
        <v>376</v>
      </c>
      <c r="H243" s="4" t="s">
        <v>55</v>
      </c>
      <c r="I243" s="4">
        <v>57613</v>
      </c>
      <c r="J243" s="4">
        <v>19891</v>
      </c>
      <c r="K243" s="4">
        <v>7641</v>
      </c>
      <c r="L243" s="4">
        <v>2556</v>
      </c>
      <c r="M243" s="4">
        <v>2056</v>
      </c>
      <c r="N243" s="4">
        <v>85645</v>
      </c>
      <c r="O243" s="4">
        <v>16</v>
      </c>
      <c r="P243" s="4">
        <v>64</v>
      </c>
      <c r="Q243" s="4" t="s">
        <v>66</v>
      </c>
      <c r="R243" s="6" t="s">
        <v>41</v>
      </c>
      <c r="S243" s="94"/>
      <c r="T243" s="94"/>
      <c r="U243" s="94"/>
      <c r="V243" s="94"/>
      <c r="W243" s="94"/>
      <c r="X243" s="94"/>
      <c r="Y243" s="94"/>
      <c r="Z243" s="94"/>
      <c r="AA243" s="94"/>
    </row>
    <row r="244" spans="1:27" ht="18" customHeight="1">
      <c r="A244" s="7" t="s">
        <v>578</v>
      </c>
      <c r="B244" s="7" t="s">
        <v>579</v>
      </c>
      <c r="C244" s="7">
        <v>23</v>
      </c>
      <c r="D244" s="7" t="s">
        <v>44</v>
      </c>
      <c r="E244" s="14" t="s">
        <v>76</v>
      </c>
      <c r="F244" s="7" t="s">
        <v>226</v>
      </c>
      <c r="G244" s="9">
        <v>44505</v>
      </c>
      <c r="H244" s="7" t="s">
        <v>196</v>
      </c>
      <c r="I244" s="7">
        <v>69922</v>
      </c>
      <c r="J244" s="7">
        <v>34907</v>
      </c>
      <c r="K244" s="7">
        <v>10031</v>
      </c>
      <c r="L244" s="7">
        <v>2942</v>
      </c>
      <c r="M244" s="7">
        <v>7144</v>
      </c>
      <c r="N244" s="7">
        <v>110658</v>
      </c>
      <c r="O244" s="7">
        <v>18</v>
      </c>
      <c r="P244" s="7">
        <v>50</v>
      </c>
      <c r="Q244" s="7" t="s">
        <v>73</v>
      </c>
      <c r="R244" s="6" t="s">
        <v>41</v>
      </c>
      <c r="S244" s="94"/>
      <c r="T244" s="94"/>
      <c r="U244" s="94"/>
      <c r="V244" s="94"/>
      <c r="W244" s="94"/>
      <c r="X244" s="94"/>
      <c r="Y244" s="94"/>
      <c r="Z244" s="94"/>
      <c r="AA244" s="94"/>
    </row>
    <row r="245" spans="1:27" ht="18" customHeight="1">
      <c r="A245" s="4" t="s">
        <v>580</v>
      </c>
      <c r="B245" s="4" t="s">
        <v>232</v>
      </c>
      <c r="C245" s="4">
        <v>25</v>
      </c>
      <c r="D245" s="4" t="s">
        <v>52</v>
      </c>
      <c r="E245" s="14" t="s">
        <v>76</v>
      </c>
      <c r="F245" s="4" t="s">
        <v>99</v>
      </c>
      <c r="G245" s="12">
        <v>44989</v>
      </c>
      <c r="H245" s="4" t="s">
        <v>47</v>
      </c>
      <c r="I245" s="4">
        <v>73049</v>
      </c>
      <c r="J245" s="4">
        <v>32304</v>
      </c>
      <c r="K245" s="4">
        <v>14978</v>
      </c>
      <c r="L245" s="4">
        <v>306</v>
      </c>
      <c r="M245" s="4">
        <v>4073</v>
      </c>
      <c r="N245" s="4">
        <v>116564</v>
      </c>
      <c r="O245" s="4">
        <v>25</v>
      </c>
      <c r="P245" s="4">
        <v>56</v>
      </c>
      <c r="Q245" s="4" t="s">
        <v>40</v>
      </c>
      <c r="R245" s="6" t="s">
        <v>41</v>
      </c>
      <c r="S245" s="94"/>
      <c r="T245" s="94"/>
      <c r="U245" s="94"/>
      <c r="V245" s="94"/>
      <c r="W245" s="94"/>
      <c r="X245" s="94"/>
      <c r="Y245" s="94"/>
      <c r="Z245" s="94"/>
      <c r="AA245" s="94"/>
    </row>
    <row r="246" spans="1:27" ht="18" customHeight="1">
      <c r="A246" s="7" t="s">
        <v>581</v>
      </c>
      <c r="B246" s="7" t="s">
        <v>582</v>
      </c>
      <c r="C246" s="7">
        <v>41</v>
      </c>
      <c r="D246" s="7" t="s">
        <v>52</v>
      </c>
      <c r="E246" s="14" t="s">
        <v>76</v>
      </c>
      <c r="F246" s="7" t="s">
        <v>99</v>
      </c>
      <c r="G246" s="9">
        <v>44421</v>
      </c>
      <c r="H246" s="7" t="s">
        <v>84</v>
      </c>
      <c r="I246" s="7">
        <v>41199</v>
      </c>
      <c r="J246" s="7">
        <v>16869</v>
      </c>
      <c r="K246" s="7">
        <v>9772</v>
      </c>
      <c r="L246" s="7">
        <v>5749</v>
      </c>
      <c r="M246" s="7">
        <v>2254</v>
      </c>
      <c r="N246" s="7">
        <v>71335</v>
      </c>
      <c r="O246" s="7">
        <v>18</v>
      </c>
      <c r="P246" s="7">
        <v>84</v>
      </c>
      <c r="Q246" s="7" t="s">
        <v>48</v>
      </c>
      <c r="R246" s="10" t="s">
        <v>49</v>
      </c>
      <c r="S246" s="94"/>
      <c r="T246" s="94"/>
      <c r="U246" s="94"/>
      <c r="V246" s="94"/>
      <c r="W246" s="94"/>
      <c r="X246" s="94"/>
      <c r="Y246" s="94"/>
      <c r="Z246" s="94"/>
      <c r="AA246" s="94"/>
    </row>
    <row r="247" spans="1:27" ht="18" customHeight="1">
      <c r="A247" s="4" t="s">
        <v>583</v>
      </c>
      <c r="B247" s="4" t="s">
        <v>584</v>
      </c>
      <c r="C247" s="4">
        <v>34</v>
      </c>
      <c r="D247" s="4" t="s">
        <v>52</v>
      </c>
      <c r="E247" s="11" t="s">
        <v>53</v>
      </c>
      <c r="F247" s="4" t="s">
        <v>208</v>
      </c>
      <c r="G247" s="12">
        <v>44244</v>
      </c>
      <c r="H247" s="4" t="s">
        <v>78</v>
      </c>
      <c r="I247" s="4">
        <v>119210</v>
      </c>
      <c r="J247" s="4">
        <v>50490</v>
      </c>
      <c r="K247" s="4">
        <v>6631</v>
      </c>
      <c r="L247" s="4">
        <v>933</v>
      </c>
      <c r="M247" s="4">
        <v>7428</v>
      </c>
      <c r="N247" s="4">
        <v>169836</v>
      </c>
      <c r="O247" s="4">
        <v>16</v>
      </c>
      <c r="P247" s="4">
        <v>71</v>
      </c>
      <c r="Q247" s="4" t="s">
        <v>73</v>
      </c>
      <c r="R247" s="6" t="s">
        <v>41</v>
      </c>
      <c r="S247" s="94"/>
      <c r="T247" s="94"/>
      <c r="U247" s="94"/>
      <c r="V247" s="94"/>
      <c r="W247" s="94"/>
      <c r="X247" s="94"/>
      <c r="Y247" s="94"/>
      <c r="Z247" s="94"/>
      <c r="AA247" s="94"/>
    </row>
    <row r="248" spans="1:27" ht="18" customHeight="1">
      <c r="A248" s="7" t="s">
        <v>585</v>
      </c>
      <c r="B248" s="7" t="s">
        <v>586</v>
      </c>
      <c r="C248" s="7">
        <v>22</v>
      </c>
      <c r="D248" s="7" t="s">
        <v>52</v>
      </c>
      <c r="E248" s="11" t="s">
        <v>53</v>
      </c>
      <c r="F248" s="7" t="s">
        <v>87</v>
      </c>
      <c r="G248" s="9">
        <v>43526</v>
      </c>
      <c r="H248" s="7" t="s">
        <v>47</v>
      </c>
      <c r="I248" s="7">
        <v>96845</v>
      </c>
      <c r="J248" s="7">
        <v>38667</v>
      </c>
      <c r="K248" s="7">
        <v>5402</v>
      </c>
      <c r="L248" s="7">
        <v>5637</v>
      </c>
      <c r="M248" s="7">
        <v>4937</v>
      </c>
      <c r="N248" s="7">
        <v>141614</v>
      </c>
      <c r="O248" s="7">
        <v>-20</v>
      </c>
      <c r="P248" s="7">
        <v>55</v>
      </c>
      <c r="Q248" s="7" t="s">
        <v>66</v>
      </c>
      <c r="R248" s="6" t="s">
        <v>41</v>
      </c>
      <c r="S248" s="94"/>
      <c r="T248" s="94"/>
      <c r="U248" s="94"/>
      <c r="V248" s="94"/>
      <c r="W248" s="94"/>
      <c r="X248" s="94"/>
      <c r="Y248" s="94"/>
      <c r="Z248" s="94"/>
      <c r="AA248" s="94"/>
    </row>
    <row r="249" spans="1:27" ht="18" customHeight="1">
      <c r="A249" s="4" t="s">
        <v>587</v>
      </c>
      <c r="B249" s="4" t="s">
        <v>299</v>
      </c>
      <c r="C249" s="4">
        <v>51</v>
      </c>
      <c r="D249" s="4" t="s">
        <v>44</v>
      </c>
      <c r="E249" s="13" t="s">
        <v>63</v>
      </c>
      <c r="F249" s="4" t="s">
        <v>64</v>
      </c>
      <c r="G249" s="12">
        <v>44981</v>
      </c>
      <c r="H249" s="4" t="s">
        <v>55</v>
      </c>
      <c r="I249" s="4">
        <v>119840</v>
      </c>
      <c r="J249" s="4">
        <v>38380</v>
      </c>
      <c r="K249" s="4">
        <v>6192</v>
      </c>
      <c r="L249" s="4">
        <v>5278</v>
      </c>
      <c r="M249" s="4">
        <v>2893</v>
      </c>
      <c r="N249" s="4">
        <v>166797</v>
      </c>
      <c r="O249" s="4">
        <v>22</v>
      </c>
      <c r="P249" s="4">
        <v>58</v>
      </c>
      <c r="Q249" s="4" t="s">
        <v>40</v>
      </c>
      <c r="R249" s="6" t="s">
        <v>41</v>
      </c>
      <c r="S249" s="94"/>
      <c r="T249" s="94"/>
      <c r="U249" s="94"/>
      <c r="V249" s="94"/>
      <c r="W249" s="94"/>
      <c r="X249" s="94"/>
      <c r="Y249" s="94"/>
      <c r="Z249" s="94"/>
      <c r="AA249" s="94"/>
    </row>
    <row r="250" spans="1:27" ht="18" customHeight="1">
      <c r="A250" s="7" t="s">
        <v>588</v>
      </c>
      <c r="B250" s="7" t="s">
        <v>589</v>
      </c>
      <c r="C250" s="7">
        <v>32</v>
      </c>
      <c r="D250" s="7" t="s">
        <v>52</v>
      </c>
      <c r="E250" s="11" t="s">
        <v>53</v>
      </c>
      <c r="F250" s="7" t="s">
        <v>54</v>
      </c>
      <c r="G250" s="9">
        <v>44036</v>
      </c>
      <c r="H250" s="7" t="s">
        <v>65</v>
      </c>
      <c r="I250" s="7">
        <v>40191</v>
      </c>
      <c r="J250" s="7">
        <v>12821</v>
      </c>
      <c r="K250" s="7">
        <v>14422</v>
      </c>
      <c r="L250" s="7">
        <v>7293</v>
      </c>
      <c r="M250" s="7">
        <v>1375</v>
      </c>
      <c r="N250" s="7">
        <v>73352</v>
      </c>
      <c r="O250" s="7">
        <v>15</v>
      </c>
      <c r="P250" s="7">
        <v>94</v>
      </c>
      <c r="Q250" s="7" t="s">
        <v>60</v>
      </c>
      <c r="R250" s="6" t="s">
        <v>41</v>
      </c>
      <c r="S250" s="94"/>
      <c r="T250" s="94"/>
      <c r="U250" s="94"/>
      <c r="V250" s="94"/>
      <c r="W250" s="94"/>
      <c r="X250" s="94"/>
      <c r="Y250" s="94"/>
      <c r="Z250" s="94"/>
      <c r="AA250" s="94"/>
    </row>
    <row r="251" spans="1:27" ht="18" customHeight="1">
      <c r="A251" s="4" t="s">
        <v>590</v>
      </c>
      <c r="B251" s="4" t="s">
        <v>591</v>
      </c>
      <c r="C251" s="4">
        <v>48</v>
      </c>
      <c r="D251" s="4" t="s">
        <v>44</v>
      </c>
      <c r="E251" s="14" t="s">
        <v>76</v>
      </c>
      <c r="F251" s="4" t="s">
        <v>99</v>
      </c>
      <c r="G251" s="12">
        <v>43988</v>
      </c>
      <c r="H251" s="4" t="s">
        <v>47</v>
      </c>
      <c r="I251" s="4">
        <v>39920</v>
      </c>
      <c r="J251" s="4">
        <v>15176</v>
      </c>
      <c r="K251" s="4">
        <v>9479</v>
      </c>
      <c r="L251" s="4">
        <v>2226</v>
      </c>
      <c r="M251" s="4">
        <v>7846</v>
      </c>
      <c r="N251" s="4">
        <v>58955</v>
      </c>
      <c r="O251" s="4">
        <v>21</v>
      </c>
      <c r="P251" s="4">
        <v>84</v>
      </c>
      <c r="Q251" s="4" t="s">
        <v>40</v>
      </c>
      <c r="R251" s="6" t="s">
        <v>41</v>
      </c>
      <c r="S251" s="94"/>
      <c r="T251" s="94"/>
      <c r="U251" s="94"/>
      <c r="V251" s="94"/>
      <c r="W251" s="94"/>
      <c r="X251" s="94"/>
      <c r="Y251" s="94"/>
      <c r="Z251" s="94"/>
      <c r="AA251" s="94"/>
    </row>
    <row r="252" spans="1:27" ht="18" customHeight="1">
      <c r="A252" s="7" t="s">
        <v>592</v>
      </c>
      <c r="B252" s="7" t="s">
        <v>593</v>
      </c>
      <c r="C252" s="7">
        <v>30</v>
      </c>
      <c r="D252" s="7" t="s">
        <v>52</v>
      </c>
      <c r="E252" s="13" t="s">
        <v>63</v>
      </c>
      <c r="F252" s="7" t="s">
        <v>64</v>
      </c>
      <c r="G252" s="9">
        <v>44485</v>
      </c>
      <c r="H252" s="7" t="s">
        <v>84</v>
      </c>
      <c r="I252" s="7">
        <v>99572</v>
      </c>
      <c r="J252" s="7">
        <v>43381</v>
      </c>
      <c r="K252" s="7">
        <v>4969</v>
      </c>
      <c r="L252" s="7">
        <v>5007</v>
      </c>
      <c r="M252" s="7">
        <v>4110</v>
      </c>
      <c r="N252" s="7">
        <v>148819</v>
      </c>
      <c r="O252" s="7">
        <v>20</v>
      </c>
      <c r="P252" s="7">
        <v>79</v>
      </c>
      <c r="Q252" s="7" t="s">
        <v>66</v>
      </c>
      <c r="R252" s="6" t="s">
        <v>41</v>
      </c>
      <c r="S252" s="94"/>
      <c r="T252" s="94"/>
      <c r="U252" s="94"/>
      <c r="V252" s="94"/>
      <c r="W252" s="94"/>
      <c r="X252" s="94"/>
      <c r="Y252" s="94"/>
      <c r="Z252" s="94"/>
      <c r="AA252" s="94"/>
    </row>
    <row r="253" spans="1:27" ht="18" customHeight="1">
      <c r="A253" s="4" t="s">
        <v>594</v>
      </c>
      <c r="B253" s="4" t="s">
        <v>595</v>
      </c>
      <c r="C253" s="4">
        <v>43</v>
      </c>
      <c r="D253" s="4" t="s">
        <v>52</v>
      </c>
      <c r="E253" s="8" t="s">
        <v>45</v>
      </c>
      <c r="F253" s="4" t="s">
        <v>46</v>
      </c>
      <c r="G253" s="12">
        <v>43780</v>
      </c>
      <c r="H253" s="4" t="s">
        <v>293</v>
      </c>
      <c r="I253" s="4"/>
      <c r="J253" s="4">
        <v>11737</v>
      </c>
      <c r="K253" s="4">
        <v>13107</v>
      </c>
      <c r="L253" s="4">
        <v>4299</v>
      </c>
      <c r="M253" s="4">
        <v>7287</v>
      </c>
      <c r="N253" s="4"/>
      <c r="O253" s="4">
        <v>26</v>
      </c>
      <c r="P253" s="4">
        <v>76</v>
      </c>
      <c r="Q253" s="4" t="s">
        <v>48</v>
      </c>
      <c r="R253" s="13" t="s">
        <v>67</v>
      </c>
      <c r="S253" s="94"/>
      <c r="T253" s="94"/>
      <c r="U253" s="94"/>
      <c r="V253" s="94"/>
      <c r="W253" s="94"/>
      <c r="X253" s="94"/>
      <c r="Y253" s="94"/>
      <c r="Z253" s="94"/>
      <c r="AA253" s="94"/>
    </row>
    <row r="254" spans="1:27" ht="18" customHeight="1">
      <c r="A254" s="7" t="s">
        <v>596</v>
      </c>
      <c r="B254" s="7" t="s">
        <v>597</v>
      </c>
      <c r="C254" s="7">
        <v>22</v>
      </c>
      <c r="D254" s="7" t="s">
        <v>52</v>
      </c>
      <c r="E254" s="8" t="s">
        <v>45</v>
      </c>
      <c r="F254" s="7" t="s">
        <v>81</v>
      </c>
      <c r="G254" s="9">
        <v>43324</v>
      </c>
      <c r="H254" s="7" t="s">
        <v>47</v>
      </c>
      <c r="I254" s="7">
        <v>111993</v>
      </c>
      <c r="J254" s="7">
        <v>48746</v>
      </c>
      <c r="K254" s="7">
        <v>8305</v>
      </c>
      <c r="L254" s="7">
        <v>1217</v>
      </c>
      <c r="M254" s="7">
        <v>7873</v>
      </c>
      <c r="N254" s="7">
        <v>162388</v>
      </c>
      <c r="O254" s="7">
        <v>23</v>
      </c>
      <c r="P254" s="7">
        <v>97</v>
      </c>
      <c r="Q254" s="7" t="s">
        <v>66</v>
      </c>
      <c r="R254" s="6" t="s">
        <v>41</v>
      </c>
      <c r="S254" s="94"/>
      <c r="T254" s="94"/>
      <c r="U254" s="94"/>
      <c r="V254" s="94"/>
      <c r="W254" s="94"/>
      <c r="X254" s="94"/>
      <c r="Y254" s="94"/>
      <c r="Z254" s="94"/>
      <c r="AA254" s="94"/>
    </row>
    <row r="255" spans="1:27" ht="18" customHeight="1">
      <c r="A255" s="4" t="s">
        <v>598</v>
      </c>
      <c r="B255" s="4" t="s">
        <v>599</v>
      </c>
      <c r="C255" s="4">
        <v>47</v>
      </c>
      <c r="D255" s="4" t="s">
        <v>44</v>
      </c>
      <c r="E255" s="13" t="s">
        <v>63</v>
      </c>
      <c r="F255" s="4" t="s">
        <v>64</v>
      </c>
      <c r="G255" s="12">
        <v>44720</v>
      </c>
      <c r="H255" s="4" t="s">
        <v>78</v>
      </c>
      <c r="I255" s="4">
        <v>68371</v>
      </c>
      <c r="J255" s="4">
        <v>33777</v>
      </c>
      <c r="K255" s="4">
        <v>2824</v>
      </c>
      <c r="L255" s="4">
        <v>4152</v>
      </c>
      <c r="M255" s="4">
        <v>2824</v>
      </c>
      <c r="N255" s="4">
        <v>106300</v>
      </c>
      <c r="O255" s="4">
        <v>23</v>
      </c>
      <c r="P255" s="4">
        <v>81</v>
      </c>
      <c r="Q255" s="4" t="s">
        <v>66</v>
      </c>
      <c r="R255" s="6" t="s">
        <v>41</v>
      </c>
      <c r="S255" s="94"/>
      <c r="T255" s="94"/>
      <c r="U255" s="94"/>
      <c r="V255" s="94"/>
      <c r="W255" s="94"/>
      <c r="X255" s="94"/>
      <c r="Y255" s="94"/>
      <c r="Z255" s="94"/>
      <c r="AA255" s="94"/>
    </row>
    <row r="256" spans="1:27" ht="18" customHeight="1">
      <c r="A256" s="7" t="s">
        <v>600</v>
      </c>
      <c r="B256" s="7" t="s">
        <v>601</v>
      </c>
      <c r="C256" s="7">
        <v>48</v>
      </c>
      <c r="D256" s="7" t="s">
        <v>44</v>
      </c>
      <c r="E256" s="10" t="s">
        <v>58</v>
      </c>
      <c r="F256" s="7" t="s">
        <v>105</v>
      </c>
      <c r="G256" s="9">
        <v>42597</v>
      </c>
      <c r="H256" s="7" t="s">
        <v>55</v>
      </c>
      <c r="I256" s="7">
        <v>66426</v>
      </c>
      <c r="J256" s="7">
        <v>21505</v>
      </c>
      <c r="K256" s="7">
        <v>10148</v>
      </c>
      <c r="L256" s="7">
        <v>6104</v>
      </c>
      <c r="M256" s="7">
        <v>6352</v>
      </c>
      <c r="N256" s="7">
        <v>97831</v>
      </c>
      <c r="O256" s="7">
        <v>15</v>
      </c>
      <c r="P256" s="7">
        <v>46</v>
      </c>
      <c r="Q256" s="7" t="s">
        <v>40</v>
      </c>
      <c r="R256" s="13" t="s">
        <v>67</v>
      </c>
      <c r="S256" s="94"/>
      <c r="T256" s="94"/>
      <c r="U256" s="94"/>
      <c r="V256" s="94"/>
      <c r="W256" s="94"/>
      <c r="X256" s="94"/>
      <c r="Y256" s="94"/>
      <c r="Z256" s="94"/>
      <c r="AA256" s="94"/>
    </row>
    <row r="257" spans="1:27" ht="18" customHeight="1">
      <c r="A257" s="4" t="s">
        <v>602</v>
      </c>
      <c r="B257" s="4" t="s">
        <v>341</v>
      </c>
      <c r="C257" s="4">
        <v>51</v>
      </c>
      <c r="D257" s="4" t="s">
        <v>52</v>
      </c>
      <c r="E257" s="10" t="s">
        <v>58</v>
      </c>
      <c r="F257" s="4" t="s">
        <v>93</v>
      </c>
      <c r="G257" s="12">
        <v>45176</v>
      </c>
      <c r="H257" s="4" t="s">
        <v>65</v>
      </c>
      <c r="I257" s="4">
        <v>110799</v>
      </c>
      <c r="J257" s="4">
        <v>48119</v>
      </c>
      <c r="K257" s="4">
        <v>7584</v>
      </c>
      <c r="L257" s="4">
        <v>2976</v>
      </c>
      <c r="M257" s="4">
        <v>7760</v>
      </c>
      <c r="N257" s="4">
        <v>161718</v>
      </c>
      <c r="O257" s="4">
        <v>15</v>
      </c>
      <c r="P257" s="4">
        <v>92</v>
      </c>
      <c r="Q257" s="4" t="s">
        <v>48</v>
      </c>
      <c r="R257" s="13" t="s">
        <v>67</v>
      </c>
      <c r="S257" s="94"/>
      <c r="T257" s="94"/>
      <c r="U257" s="94"/>
      <c r="V257" s="94"/>
      <c r="W257" s="94"/>
      <c r="X257" s="94"/>
      <c r="Y257" s="94"/>
      <c r="Z257" s="94"/>
      <c r="AA257" s="94"/>
    </row>
    <row r="258" spans="1:27" ht="18" customHeight="1">
      <c r="A258" s="7" t="s">
        <v>603</v>
      </c>
      <c r="B258" s="7" t="s">
        <v>604</v>
      </c>
      <c r="C258" s="7">
        <v>55</v>
      </c>
      <c r="D258" s="7" t="s">
        <v>44</v>
      </c>
      <c r="E258" s="5" t="s">
        <v>111</v>
      </c>
      <c r="F258" s="7" t="s">
        <v>217</v>
      </c>
      <c r="G258" s="9">
        <v>44596</v>
      </c>
      <c r="H258" s="7" t="s">
        <v>65</v>
      </c>
      <c r="I258" s="7">
        <v>111364</v>
      </c>
      <c r="J258" s="7">
        <v>38348</v>
      </c>
      <c r="K258" s="7">
        <v>7592</v>
      </c>
      <c r="L258" s="7">
        <v>2909</v>
      </c>
      <c r="M258" s="7">
        <v>7798</v>
      </c>
      <c r="N258" s="7">
        <v>152415</v>
      </c>
      <c r="O258" s="7">
        <v>25</v>
      </c>
      <c r="P258" s="7">
        <v>91</v>
      </c>
      <c r="Q258" s="7" t="s">
        <v>73</v>
      </c>
      <c r="R258" s="10" t="s">
        <v>49</v>
      </c>
      <c r="S258" s="94"/>
      <c r="T258" s="94"/>
      <c r="U258" s="94"/>
      <c r="V258" s="94"/>
      <c r="W258" s="94"/>
      <c r="X258" s="94"/>
      <c r="Y258" s="94"/>
      <c r="Z258" s="94"/>
      <c r="AA258" s="94"/>
    </row>
    <row r="259" spans="1:27" ht="18" customHeight="1">
      <c r="A259" s="4" t="s">
        <v>605</v>
      </c>
      <c r="B259" s="4" t="s">
        <v>606</v>
      </c>
      <c r="C259" s="4">
        <v>34</v>
      </c>
      <c r="D259" s="4" t="s">
        <v>44</v>
      </c>
      <c r="E259" s="5" t="s">
        <v>111</v>
      </c>
      <c r="F259" s="4" t="s">
        <v>128</v>
      </c>
      <c r="G259" s="12">
        <v>44236</v>
      </c>
      <c r="H259" s="4" t="s">
        <v>47</v>
      </c>
      <c r="I259" s="4">
        <v>105065</v>
      </c>
      <c r="J259" s="4">
        <v>35636</v>
      </c>
      <c r="K259" s="4">
        <v>3978</v>
      </c>
      <c r="L259" s="4">
        <v>7620</v>
      </c>
      <c r="M259" s="4">
        <v>7981</v>
      </c>
      <c r="N259" s="4">
        <v>144318</v>
      </c>
      <c r="O259" s="4">
        <v>21</v>
      </c>
      <c r="P259" s="4">
        <v>53</v>
      </c>
      <c r="Q259" s="4" t="s">
        <v>66</v>
      </c>
      <c r="R259" s="6" t="s">
        <v>41</v>
      </c>
      <c r="S259" s="94"/>
      <c r="T259" s="94"/>
      <c r="U259" s="94"/>
      <c r="V259" s="94"/>
      <c r="W259" s="94"/>
      <c r="X259" s="94"/>
      <c r="Y259" s="94"/>
      <c r="Z259" s="94"/>
      <c r="AA259" s="94"/>
    </row>
    <row r="260" spans="1:27" ht="18" customHeight="1">
      <c r="A260" s="7" t="s">
        <v>607</v>
      </c>
      <c r="B260" s="7" t="s">
        <v>608</v>
      </c>
      <c r="C260" s="7">
        <v>49</v>
      </c>
      <c r="D260" s="7" t="s">
        <v>52</v>
      </c>
      <c r="E260" s="8" t="s">
        <v>45</v>
      </c>
      <c r="F260" s="7" t="s">
        <v>46</v>
      </c>
      <c r="G260" s="9">
        <v>44795</v>
      </c>
      <c r="H260" s="7" t="s">
        <v>78</v>
      </c>
      <c r="I260" s="7">
        <v>102242</v>
      </c>
      <c r="J260" s="7">
        <v>50225</v>
      </c>
      <c r="K260" s="7">
        <v>4205</v>
      </c>
      <c r="L260" s="7">
        <v>7895</v>
      </c>
      <c r="M260" s="7">
        <v>5086</v>
      </c>
      <c r="N260" s="7">
        <v>159481</v>
      </c>
      <c r="O260" s="7">
        <v>15</v>
      </c>
      <c r="P260" s="7">
        <v>73</v>
      </c>
      <c r="Q260" s="7" t="s">
        <v>73</v>
      </c>
      <c r="R260" s="13" t="s">
        <v>67</v>
      </c>
      <c r="S260" s="94"/>
      <c r="T260" s="94"/>
      <c r="U260" s="94"/>
      <c r="V260" s="94"/>
      <c r="W260" s="94"/>
      <c r="X260" s="94"/>
      <c r="Y260" s="94"/>
      <c r="Z260" s="94"/>
      <c r="AA260" s="94"/>
    </row>
    <row r="261" spans="1:27" ht="18" customHeight="1">
      <c r="A261" s="4" t="s">
        <v>609</v>
      </c>
      <c r="B261" s="4" t="s">
        <v>610</v>
      </c>
      <c r="C261" s="4">
        <v>39</v>
      </c>
      <c r="D261" s="4" t="s">
        <v>52</v>
      </c>
      <c r="E261" s="14" t="s">
        <v>76</v>
      </c>
      <c r="F261" s="4" t="s">
        <v>154</v>
      </c>
      <c r="G261" s="12">
        <v>42779</v>
      </c>
      <c r="H261" s="4" t="s">
        <v>84</v>
      </c>
      <c r="I261" s="4">
        <v>111182</v>
      </c>
      <c r="J261" s="4">
        <v>46709</v>
      </c>
      <c r="K261" s="4">
        <v>7273</v>
      </c>
      <c r="L261" s="4">
        <v>4129</v>
      </c>
      <c r="M261" s="4">
        <v>4151</v>
      </c>
      <c r="N261" s="4">
        <v>165142</v>
      </c>
      <c r="O261" s="4">
        <v>21</v>
      </c>
      <c r="P261" s="4">
        <v>78</v>
      </c>
      <c r="Q261" s="4" t="s">
        <v>73</v>
      </c>
      <c r="R261" s="6" t="s">
        <v>41</v>
      </c>
      <c r="S261" s="94"/>
      <c r="T261" s="94"/>
      <c r="U261" s="94"/>
      <c r="V261" s="94"/>
      <c r="W261" s="94"/>
      <c r="X261" s="94"/>
      <c r="Y261" s="94"/>
      <c r="Z261" s="94"/>
      <c r="AA261" s="94"/>
    </row>
    <row r="262" spans="1:27" ht="18" customHeight="1">
      <c r="A262" s="7" t="s">
        <v>611</v>
      </c>
      <c r="B262" s="7" t="s">
        <v>612</v>
      </c>
      <c r="C262" s="7">
        <v>34</v>
      </c>
      <c r="D262" s="7" t="s">
        <v>52</v>
      </c>
      <c r="E262" s="13" t="s">
        <v>63</v>
      </c>
      <c r="F262" s="7" t="s">
        <v>115</v>
      </c>
      <c r="G262" s="9">
        <v>45073</v>
      </c>
      <c r="H262" s="7" t="s">
        <v>196</v>
      </c>
      <c r="I262" s="7">
        <v>116946</v>
      </c>
      <c r="J262" s="7">
        <v>47897</v>
      </c>
      <c r="K262" s="7">
        <v>7143</v>
      </c>
      <c r="L262" s="7">
        <v>5831</v>
      </c>
      <c r="M262" s="7">
        <v>7036</v>
      </c>
      <c r="N262" s="7">
        <v>170781</v>
      </c>
      <c r="O262" s="7">
        <v>23</v>
      </c>
      <c r="P262" s="7">
        <v>80</v>
      </c>
      <c r="Q262" s="7" t="s">
        <v>60</v>
      </c>
      <c r="R262" s="13" t="s">
        <v>67</v>
      </c>
      <c r="S262" s="94"/>
      <c r="T262" s="94"/>
      <c r="U262" s="94"/>
      <c r="V262" s="94"/>
      <c r="W262" s="94"/>
      <c r="X262" s="94"/>
      <c r="Y262" s="94"/>
      <c r="Z262" s="94"/>
      <c r="AA262" s="94"/>
    </row>
    <row r="263" spans="1:27" ht="18" customHeight="1">
      <c r="A263" s="4" t="s">
        <v>613</v>
      </c>
      <c r="B263" s="4" t="s">
        <v>614</v>
      </c>
      <c r="C263" s="4">
        <v>48</v>
      </c>
      <c r="D263" s="4" t="s">
        <v>44</v>
      </c>
      <c r="E263" s="14" t="s">
        <v>76</v>
      </c>
      <c r="F263" s="4" t="s">
        <v>154</v>
      </c>
      <c r="G263" s="4" t="s">
        <v>615</v>
      </c>
      <c r="H263" s="4" t="s">
        <v>47</v>
      </c>
      <c r="I263" s="4">
        <v>116004</v>
      </c>
      <c r="J263" s="4">
        <v>49577</v>
      </c>
      <c r="K263" s="4">
        <v>13638</v>
      </c>
      <c r="L263" s="4">
        <v>945</v>
      </c>
      <c r="M263" s="4">
        <v>7232</v>
      </c>
      <c r="N263" s="4">
        <v>172932</v>
      </c>
      <c r="O263" s="4">
        <v>20</v>
      </c>
      <c r="P263" s="4">
        <v>75</v>
      </c>
      <c r="Q263" s="4" t="s">
        <v>60</v>
      </c>
      <c r="R263" s="10" t="s">
        <v>49</v>
      </c>
      <c r="S263" s="94"/>
      <c r="T263" s="94"/>
      <c r="U263" s="94"/>
      <c r="V263" s="94"/>
      <c r="W263" s="94"/>
      <c r="X263" s="94"/>
      <c r="Y263" s="94"/>
      <c r="Z263" s="94"/>
      <c r="AA263" s="94"/>
    </row>
    <row r="264" spans="1:27" ht="18" customHeight="1">
      <c r="A264" s="7" t="s">
        <v>616</v>
      </c>
      <c r="B264" s="7" t="s">
        <v>617</v>
      </c>
      <c r="C264" s="7">
        <v>40</v>
      </c>
      <c r="D264" s="7" t="s">
        <v>52</v>
      </c>
      <c r="E264" s="5" t="s">
        <v>111</v>
      </c>
      <c r="F264" s="7" t="s">
        <v>112</v>
      </c>
      <c r="G264" s="9">
        <v>44958</v>
      </c>
      <c r="H264" s="7" t="s">
        <v>47</v>
      </c>
      <c r="I264" s="7">
        <v>74921</v>
      </c>
      <c r="J264" s="7">
        <v>24654</v>
      </c>
      <c r="K264" s="7">
        <v>12981</v>
      </c>
      <c r="L264" s="7">
        <v>463</v>
      </c>
      <c r="M264" s="7">
        <v>2637</v>
      </c>
      <c r="N264" s="7">
        <v>110382</v>
      </c>
      <c r="O264" s="7">
        <v>19</v>
      </c>
      <c r="P264" s="7">
        <v>88</v>
      </c>
      <c r="Q264" s="7" t="s">
        <v>60</v>
      </c>
      <c r="R264" s="6" t="s">
        <v>41</v>
      </c>
      <c r="S264" s="94"/>
      <c r="T264" s="94"/>
      <c r="U264" s="94"/>
      <c r="V264" s="94"/>
      <c r="W264" s="94"/>
      <c r="X264" s="94"/>
      <c r="Y264" s="94"/>
      <c r="Z264" s="94"/>
      <c r="AA264" s="94"/>
    </row>
    <row r="265" spans="1:27" ht="18" customHeight="1">
      <c r="A265" s="4" t="s">
        <v>618</v>
      </c>
      <c r="B265" s="4" t="s">
        <v>166</v>
      </c>
      <c r="C265" s="4">
        <v>37</v>
      </c>
      <c r="D265" s="4" t="s">
        <v>44</v>
      </c>
      <c r="E265" s="13" t="s">
        <v>63</v>
      </c>
      <c r="F265" s="4" t="s">
        <v>64</v>
      </c>
      <c r="G265" s="12">
        <v>44047</v>
      </c>
      <c r="H265" s="4" t="s">
        <v>90</v>
      </c>
      <c r="I265" s="4">
        <v>105754</v>
      </c>
      <c r="J265" s="4">
        <v>50086</v>
      </c>
      <c r="K265" s="4">
        <v>14115</v>
      </c>
      <c r="L265" s="4">
        <v>4602</v>
      </c>
      <c r="M265" s="4">
        <v>2837</v>
      </c>
      <c r="N265" s="4">
        <v>171720</v>
      </c>
      <c r="O265" s="4">
        <v>26</v>
      </c>
      <c r="P265" s="4">
        <v>81</v>
      </c>
      <c r="Q265" s="4" t="s">
        <v>40</v>
      </c>
      <c r="R265" s="10" t="s">
        <v>49</v>
      </c>
      <c r="S265" s="94"/>
      <c r="T265" s="94"/>
      <c r="U265" s="94"/>
      <c r="V265" s="94"/>
      <c r="W265" s="94"/>
      <c r="X265" s="94"/>
      <c r="Y265" s="94"/>
      <c r="Z265" s="94"/>
      <c r="AA265" s="94"/>
    </row>
    <row r="266" spans="1:27" ht="18" customHeight="1">
      <c r="A266" s="7" t="s">
        <v>619</v>
      </c>
      <c r="B266" s="7" t="s">
        <v>620</v>
      </c>
      <c r="C266" s="7">
        <v>36</v>
      </c>
      <c r="D266" s="7" t="s">
        <v>44</v>
      </c>
      <c r="E266" s="5" t="s">
        <v>111</v>
      </c>
      <c r="F266" s="7" t="s">
        <v>37</v>
      </c>
      <c r="G266" s="9">
        <v>44511</v>
      </c>
      <c r="H266" s="7" t="s">
        <v>47</v>
      </c>
      <c r="I266" s="7">
        <v>97368</v>
      </c>
      <c r="J266" s="7">
        <v>30258</v>
      </c>
      <c r="K266" s="7">
        <v>14184</v>
      </c>
      <c r="L266" s="7">
        <v>2058</v>
      </c>
      <c r="M266" s="7">
        <v>2663</v>
      </c>
      <c r="N266" s="7">
        <v>141205</v>
      </c>
      <c r="O266" s="7">
        <v>24</v>
      </c>
      <c r="P266" s="7">
        <v>95</v>
      </c>
      <c r="Q266" s="7" t="s">
        <v>60</v>
      </c>
      <c r="R266" s="10" t="s">
        <v>49</v>
      </c>
      <c r="S266" s="94"/>
      <c r="T266" s="94"/>
      <c r="U266" s="94"/>
      <c r="V266" s="94"/>
      <c r="W266" s="94"/>
      <c r="X266" s="94"/>
      <c r="Y266" s="94"/>
      <c r="Z266" s="94"/>
      <c r="AA266" s="94"/>
    </row>
    <row r="267" spans="1:27" ht="18" customHeight="1">
      <c r="A267" s="4" t="s">
        <v>621</v>
      </c>
      <c r="B267" s="4" t="s">
        <v>622</v>
      </c>
      <c r="C267" s="4">
        <v>46</v>
      </c>
      <c r="D267" s="4" t="s">
        <v>52</v>
      </c>
      <c r="E267" s="10" t="s">
        <v>58</v>
      </c>
      <c r="F267" s="4" t="s">
        <v>59</v>
      </c>
      <c r="G267" s="12">
        <v>43235</v>
      </c>
      <c r="H267" s="4" t="s">
        <v>55</v>
      </c>
      <c r="I267" s="4">
        <v>48255</v>
      </c>
      <c r="J267" s="4">
        <v>23968</v>
      </c>
      <c r="K267" s="4">
        <v>3220</v>
      </c>
      <c r="L267" s="4">
        <v>1531</v>
      </c>
      <c r="M267" s="4">
        <v>2423</v>
      </c>
      <c r="N267" s="4">
        <v>74551</v>
      </c>
      <c r="O267" s="4">
        <v>26</v>
      </c>
      <c r="P267" s="4">
        <v>72</v>
      </c>
      <c r="Q267" s="4" t="s">
        <v>60</v>
      </c>
      <c r="R267" s="6" t="s">
        <v>41</v>
      </c>
      <c r="S267" s="94"/>
      <c r="T267" s="94"/>
      <c r="U267" s="94"/>
      <c r="V267" s="94"/>
      <c r="W267" s="94"/>
      <c r="X267" s="94"/>
      <c r="Y267" s="94"/>
      <c r="Z267" s="94"/>
      <c r="AA267" s="94"/>
    </row>
    <row r="268" spans="1:27" ht="18" customHeight="1">
      <c r="A268" s="7" t="s">
        <v>623</v>
      </c>
      <c r="B268" s="7" t="s">
        <v>624</v>
      </c>
      <c r="C268" s="7">
        <v>41</v>
      </c>
      <c r="D268" s="7" t="s">
        <v>52</v>
      </c>
      <c r="E268" s="13" t="s">
        <v>63</v>
      </c>
      <c r="F268" s="7" t="s">
        <v>70</v>
      </c>
      <c r="G268" s="9">
        <v>43476</v>
      </c>
      <c r="H268" s="7" t="s">
        <v>84</v>
      </c>
      <c r="I268" s="7">
        <v>86122</v>
      </c>
      <c r="J268" s="7">
        <v>38061</v>
      </c>
      <c r="K268" s="7">
        <v>4536</v>
      </c>
      <c r="L268" s="7">
        <v>327</v>
      </c>
      <c r="M268" s="7">
        <v>2259</v>
      </c>
      <c r="N268" s="7">
        <v>126787</v>
      </c>
      <c r="O268" s="7">
        <v>20</v>
      </c>
      <c r="P268" s="7">
        <v>78</v>
      </c>
      <c r="Q268" s="7" t="s">
        <v>40</v>
      </c>
      <c r="R268" s="13" t="s">
        <v>67</v>
      </c>
      <c r="S268" s="94"/>
      <c r="T268" s="94"/>
      <c r="U268" s="94"/>
      <c r="V268" s="94"/>
      <c r="W268" s="94"/>
      <c r="X268" s="94"/>
      <c r="Y268" s="94"/>
      <c r="Z268" s="94"/>
      <c r="AA268" s="94"/>
    </row>
    <row r="269" spans="1:27" ht="18" customHeight="1">
      <c r="A269" s="4" t="s">
        <v>625</v>
      </c>
      <c r="B269" s="4" t="s">
        <v>626</v>
      </c>
      <c r="C269" s="4">
        <v>27</v>
      </c>
      <c r="D269" s="4" t="s">
        <v>44</v>
      </c>
      <c r="E269" s="14" t="s">
        <v>76</v>
      </c>
      <c r="F269" s="4" t="s">
        <v>226</v>
      </c>
      <c r="G269" s="12">
        <v>45022</v>
      </c>
      <c r="H269" s="4" t="s">
        <v>65</v>
      </c>
      <c r="I269" s="4">
        <v>93236</v>
      </c>
      <c r="J269" s="4">
        <v>29242</v>
      </c>
      <c r="K269" s="4">
        <v>10276</v>
      </c>
      <c r="L269" s="4">
        <v>1305</v>
      </c>
      <c r="M269" s="4">
        <v>4407</v>
      </c>
      <c r="N269" s="4">
        <v>129652</v>
      </c>
      <c r="O269" s="4">
        <v>23</v>
      </c>
      <c r="P269" s="4">
        <v>74</v>
      </c>
      <c r="Q269" s="4" t="s">
        <v>60</v>
      </c>
      <c r="R269" s="6" t="s">
        <v>41</v>
      </c>
      <c r="S269" s="94"/>
      <c r="T269" s="94"/>
      <c r="U269" s="94"/>
      <c r="V269" s="94"/>
      <c r="W269" s="94"/>
      <c r="X269" s="94"/>
      <c r="Y269" s="94"/>
      <c r="Z269" s="94"/>
      <c r="AA269" s="94"/>
    </row>
    <row r="270" spans="1:27" ht="18" customHeight="1">
      <c r="A270" s="7" t="s">
        <v>627</v>
      </c>
      <c r="B270" s="7" t="s">
        <v>628</v>
      </c>
      <c r="C270" s="7">
        <v>44</v>
      </c>
      <c r="D270" s="7" t="s">
        <v>52</v>
      </c>
      <c r="E270" s="11" t="s">
        <v>53</v>
      </c>
      <c r="F270" s="7" t="s">
        <v>54</v>
      </c>
      <c r="G270" s="9">
        <v>43580</v>
      </c>
      <c r="H270" s="7" t="s">
        <v>84</v>
      </c>
      <c r="I270" s="7">
        <v>106039</v>
      </c>
      <c r="J270" s="7">
        <v>43062</v>
      </c>
      <c r="K270" s="7">
        <v>11196</v>
      </c>
      <c r="L270" s="7">
        <v>6747</v>
      </c>
      <c r="M270" s="7">
        <v>7161</v>
      </c>
      <c r="N270" s="7">
        <v>159883</v>
      </c>
      <c r="O270" s="7">
        <v>25</v>
      </c>
      <c r="P270" s="7">
        <v>40</v>
      </c>
      <c r="Q270" s="7" t="s">
        <v>48</v>
      </c>
      <c r="R270" s="6" t="s">
        <v>41</v>
      </c>
      <c r="S270" s="94"/>
      <c r="T270" s="94"/>
      <c r="U270" s="94"/>
      <c r="V270" s="94"/>
      <c r="W270" s="94"/>
      <c r="X270" s="94"/>
      <c r="Y270" s="94"/>
      <c r="Z270" s="94"/>
      <c r="AA270" s="94"/>
    </row>
    <row r="271" spans="1:27" ht="18" customHeight="1">
      <c r="A271" s="4" t="s">
        <v>629</v>
      </c>
      <c r="B271" s="4" t="s">
        <v>630</v>
      </c>
      <c r="C271" s="4">
        <v>54</v>
      </c>
      <c r="D271" s="4" t="s">
        <v>44</v>
      </c>
      <c r="E271" s="13" t="s">
        <v>63</v>
      </c>
      <c r="F271" s="4" t="s">
        <v>64</v>
      </c>
      <c r="G271" s="12">
        <v>44038</v>
      </c>
      <c r="H271" s="4" t="s">
        <v>78</v>
      </c>
      <c r="I271" s="4">
        <v>39860</v>
      </c>
      <c r="J271" s="4">
        <v>15034</v>
      </c>
      <c r="K271" s="4">
        <v>10851</v>
      </c>
      <c r="L271" s="4">
        <v>5930</v>
      </c>
      <c r="M271" s="4">
        <v>3316</v>
      </c>
      <c r="N271" s="4">
        <v>68359</v>
      </c>
      <c r="O271" s="4">
        <v>15</v>
      </c>
      <c r="P271" s="4">
        <v>98</v>
      </c>
      <c r="Q271" s="4" t="s">
        <v>40</v>
      </c>
      <c r="R271" s="13" t="s">
        <v>67</v>
      </c>
      <c r="S271" s="94"/>
      <c r="T271" s="94"/>
      <c r="U271" s="94"/>
      <c r="V271" s="94"/>
      <c r="W271" s="94"/>
      <c r="X271" s="94"/>
      <c r="Y271" s="94"/>
      <c r="Z271" s="94"/>
      <c r="AA271" s="94"/>
    </row>
    <row r="272" spans="1:27" ht="18" customHeight="1">
      <c r="A272" s="7" t="s">
        <v>631</v>
      </c>
      <c r="B272" s="7" t="s">
        <v>499</v>
      </c>
      <c r="C272" s="7">
        <v>35</v>
      </c>
      <c r="D272" s="7" t="s">
        <v>52</v>
      </c>
      <c r="E272" s="11" t="s">
        <v>53</v>
      </c>
      <c r="F272" s="7" t="s">
        <v>208</v>
      </c>
      <c r="G272" s="9">
        <v>44077</v>
      </c>
      <c r="H272" s="7" t="s">
        <v>47</v>
      </c>
      <c r="I272" s="7">
        <v>37577</v>
      </c>
      <c r="J272" s="7">
        <v>12531</v>
      </c>
      <c r="K272" s="7">
        <v>14670</v>
      </c>
      <c r="L272" s="7">
        <v>4407</v>
      </c>
      <c r="M272" s="7">
        <v>5368</v>
      </c>
      <c r="N272" s="7">
        <v>63817</v>
      </c>
      <c r="O272" s="7">
        <v>15</v>
      </c>
      <c r="P272" s="7">
        <v>80</v>
      </c>
      <c r="Q272" s="7" t="s">
        <v>66</v>
      </c>
      <c r="R272" s="10" t="s">
        <v>49</v>
      </c>
      <c r="S272" s="94"/>
      <c r="T272" s="94"/>
      <c r="U272" s="94"/>
      <c r="V272" s="94"/>
      <c r="W272" s="94"/>
      <c r="X272" s="94"/>
      <c r="Y272" s="94"/>
      <c r="Z272" s="94"/>
      <c r="AA272" s="94"/>
    </row>
    <row r="273" spans="1:27" ht="18" customHeight="1">
      <c r="A273" s="4" t="s">
        <v>632</v>
      </c>
      <c r="B273" s="4" t="s">
        <v>633</v>
      </c>
      <c r="C273" s="4">
        <v>43</v>
      </c>
      <c r="D273" s="4" t="s">
        <v>44</v>
      </c>
      <c r="E273" s="8" t="s">
        <v>634</v>
      </c>
      <c r="F273" s="4" t="s">
        <v>306</v>
      </c>
      <c r="G273" s="12">
        <v>45284</v>
      </c>
      <c r="H273" s="4" t="s">
        <v>55</v>
      </c>
      <c r="I273" s="4">
        <v>82047</v>
      </c>
      <c r="J273" s="4">
        <v>35224</v>
      </c>
      <c r="K273" s="4">
        <v>3181</v>
      </c>
      <c r="L273" s="4">
        <v>6118</v>
      </c>
      <c r="M273" s="4">
        <v>6620</v>
      </c>
      <c r="N273" s="4">
        <v>119950</v>
      </c>
      <c r="O273" s="4">
        <v>17</v>
      </c>
      <c r="P273" s="4">
        <v>41</v>
      </c>
      <c r="Q273" s="4" t="s">
        <v>73</v>
      </c>
      <c r="R273" s="6" t="s">
        <v>41</v>
      </c>
      <c r="S273" s="94"/>
      <c r="T273" s="94"/>
      <c r="U273" s="94"/>
      <c r="V273" s="94"/>
      <c r="W273" s="94"/>
      <c r="X273" s="94"/>
      <c r="Y273" s="94"/>
      <c r="Z273" s="94"/>
      <c r="AA273" s="94"/>
    </row>
    <row r="274" spans="1:27" ht="18" customHeight="1">
      <c r="A274" s="7" t="s">
        <v>635</v>
      </c>
      <c r="B274" s="7" t="s">
        <v>636</v>
      </c>
      <c r="C274" s="7">
        <v>22</v>
      </c>
      <c r="D274" s="7" t="s">
        <v>52</v>
      </c>
      <c r="E274" s="11" t="s">
        <v>53</v>
      </c>
      <c r="F274" s="7" t="s">
        <v>118</v>
      </c>
      <c r="G274" s="9">
        <v>43234</v>
      </c>
      <c r="H274" s="7" t="s">
        <v>47</v>
      </c>
      <c r="I274" s="7">
        <v>75860</v>
      </c>
      <c r="J274" s="7">
        <v>29602</v>
      </c>
      <c r="K274" s="7">
        <v>8626</v>
      </c>
      <c r="L274" s="7">
        <v>3547</v>
      </c>
      <c r="M274" s="7">
        <v>3591</v>
      </c>
      <c r="N274" s="7">
        <v>114044</v>
      </c>
      <c r="O274" s="7">
        <v>15</v>
      </c>
      <c r="P274" s="7">
        <v>64</v>
      </c>
      <c r="Q274" s="7" t="s">
        <v>48</v>
      </c>
      <c r="R274" s="10" t="s">
        <v>49</v>
      </c>
      <c r="S274" s="94"/>
      <c r="T274" s="94"/>
      <c r="U274" s="94"/>
      <c r="V274" s="94"/>
      <c r="W274" s="94"/>
      <c r="X274" s="94"/>
      <c r="Y274" s="94"/>
      <c r="Z274" s="94"/>
      <c r="AA274" s="94"/>
    </row>
    <row r="275" spans="1:27" ht="18" customHeight="1">
      <c r="A275" s="4" t="s">
        <v>637</v>
      </c>
      <c r="B275" s="4" t="s">
        <v>638</v>
      </c>
      <c r="C275" s="4">
        <v>46</v>
      </c>
      <c r="D275" s="4" t="s">
        <v>44</v>
      </c>
      <c r="E275" s="8" t="s">
        <v>45</v>
      </c>
      <c r="F275" s="4" t="s">
        <v>46</v>
      </c>
      <c r="G275" s="12">
        <v>44078</v>
      </c>
      <c r="H275" s="4" t="s">
        <v>84</v>
      </c>
      <c r="I275" s="4">
        <v>62989</v>
      </c>
      <c r="J275" s="4">
        <v>28810</v>
      </c>
      <c r="K275" s="4">
        <v>6937</v>
      </c>
      <c r="L275" s="4">
        <v>4968</v>
      </c>
      <c r="M275" s="4">
        <v>1708</v>
      </c>
      <c r="N275" s="4">
        <v>101996</v>
      </c>
      <c r="O275" s="4">
        <v>19</v>
      </c>
      <c r="P275" s="4">
        <v>88</v>
      </c>
      <c r="Q275" s="4" t="s">
        <v>73</v>
      </c>
      <c r="R275" s="10" t="s">
        <v>49</v>
      </c>
      <c r="S275" s="94"/>
      <c r="T275" s="94"/>
      <c r="U275" s="94"/>
      <c r="V275" s="94"/>
      <c r="W275" s="94"/>
      <c r="X275" s="94"/>
      <c r="Y275" s="94"/>
      <c r="Z275" s="94"/>
      <c r="AA275" s="94"/>
    </row>
    <row r="276" spans="1:27" ht="18" customHeight="1">
      <c r="A276" s="7" t="s">
        <v>639</v>
      </c>
      <c r="B276" s="7" t="s">
        <v>640</v>
      </c>
      <c r="C276" s="7">
        <v>22</v>
      </c>
      <c r="D276" s="7" t="s">
        <v>44</v>
      </c>
      <c r="E276" s="10" t="s">
        <v>58</v>
      </c>
      <c r="F276" s="7" t="s">
        <v>59</v>
      </c>
      <c r="G276" s="9">
        <v>43082</v>
      </c>
      <c r="H276" s="7" t="s">
        <v>90</v>
      </c>
      <c r="I276" s="7">
        <v>96529</v>
      </c>
      <c r="J276" s="7">
        <v>34653</v>
      </c>
      <c r="K276" s="7">
        <v>12388</v>
      </c>
      <c r="L276" s="7">
        <v>1180</v>
      </c>
      <c r="M276" s="7">
        <v>3441</v>
      </c>
      <c r="N276" s="7">
        <v>141309</v>
      </c>
      <c r="O276" s="7">
        <v>25</v>
      </c>
      <c r="P276" s="7">
        <v>96</v>
      </c>
      <c r="Q276" s="7" t="s">
        <v>40</v>
      </c>
      <c r="R276" s="13" t="s">
        <v>67</v>
      </c>
      <c r="S276" s="94"/>
      <c r="T276" s="94"/>
      <c r="U276" s="94"/>
      <c r="V276" s="94"/>
      <c r="W276" s="94"/>
      <c r="X276" s="94"/>
      <c r="Y276" s="94"/>
      <c r="Z276" s="94"/>
      <c r="AA276" s="94"/>
    </row>
    <row r="277" spans="1:27" ht="18" customHeight="1">
      <c r="A277" s="4" t="s">
        <v>641</v>
      </c>
      <c r="B277" s="4" t="s">
        <v>642</v>
      </c>
      <c r="C277" s="4">
        <v>54</v>
      </c>
      <c r="D277" s="4" t="s">
        <v>44</v>
      </c>
      <c r="E277" s="8" t="s">
        <v>45</v>
      </c>
      <c r="F277" s="4" t="s">
        <v>81</v>
      </c>
      <c r="G277" s="12">
        <v>45172</v>
      </c>
      <c r="H277" s="4" t="s">
        <v>196</v>
      </c>
      <c r="I277" s="4">
        <v>64936</v>
      </c>
      <c r="J277" s="4">
        <v>22209</v>
      </c>
      <c r="K277" s="4">
        <v>14147</v>
      </c>
      <c r="L277" s="4">
        <v>7401</v>
      </c>
      <c r="M277" s="4">
        <v>6946</v>
      </c>
      <c r="N277" s="4">
        <v>101747</v>
      </c>
      <c r="O277" s="4">
        <v>20</v>
      </c>
      <c r="P277" s="4">
        <v>53</v>
      </c>
      <c r="Q277" s="4" t="s">
        <v>48</v>
      </c>
      <c r="R277" s="6" t="s">
        <v>41</v>
      </c>
      <c r="S277" s="94"/>
      <c r="T277" s="94"/>
      <c r="U277" s="94"/>
      <c r="V277" s="94"/>
      <c r="W277" s="94"/>
      <c r="X277" s="94"/>
      <c r="Y277" s="94"/>
      <c r="Z277" s="94"/>
      <c r="AA277" s="94"/>
    </row>
    <row r="278" spans="1:27" ht="18" customHeight="1">
      <c r="A278" s="7" t="s">
        <v>643</v>
      </c>
      <c r="B278" s="7" t="s">
        <v>644</v>
      </c>
      <c r="C278" s="7">
        <v>40</v>
      </c>
      <c r="D278" s="7" t="s">
        <v>52</v>
      </c>
      <c r="E278" s="11" t="s">
        <v>53</v>
      </c>
      <c r="F278" s="7" t="s">
        <v>208</v>
      </c>
      <c r="G278" s="9">
        <v>42451</v>
      </c>
      <c r="H278" s="7" t="s">
        <v>47</v>
      </c>
      <c r="I278" s="7"/>
      <c r="J278" s="7">
        <v>46742</v>
      </c>
      <c r="K278" s="7">
        <v>14305</v>
      </c>
      <c r="L278" s="7">
        <v>7637</v>
      </c>
      <c r="M278" s="7">
        <v>5496</v>
      </c>
      <c r="N278" s="7"/>
      <c r="O278" s="7">
        <v>22</v>
      </c>
      <c r="P278" s="7">
        <v>81</v>
      </c>
      <c r="Q278" s="7" t="s">
        <v>73</v>
      </c>
      <c r="R278" s="6" t="s">
        <v>41</v>
      </c>
      <c r="S278" s="94"/>
      <c r="T278" s="94"/>
      <c r="U278" s="94"/>
      <c r="V278" s="94"/>
      <c r="W278" s="94"/>
      <c r="X278" s="94"/>
      <c r="Y278" s="94"/>
      <c r="Z278" s="94"/>
      <c r="AA278" s="94"/>
    </row>
    <row r="279" spans="1:27" ht="18" customHeight="1">
      <c r="A279" s="4" t="s">
        <v>645</v>
      </c>
      <c r="B279" s="4" t="s">
        <v>646</v>
      </c>
      <c r="C279" s="4">
        <v>42</v>
      </c>
      <c r="D279" s="4" t="s">
        <v>52</v>
      </c>
      <c r="E279" s="14" t="s">
        <v>76</v>
      </c>
      <c r="F279" s="4" t="s">
        <v>77</v>
      </c>
      <c r="G279" s="12">
        <v>43987</v>
      </c>
      <c r="H279" s="4" t="s">
        <v>84</v>
      </c>
      <c r="I279" s="4">
        <v>112988</v>
      </c>
      <c r="J279" s="4">
        <v>48709</v>
      </c>
      <c r="K279" s="4">
        <v>3639</v>
      </c>
      <c r="L279" s="4">
        <v>2335</v>
      </c>
      <c r="M279" s="4">
        <v>6075</v>
      </c>
      <c r="N279" s="4">
        <v>161596</v>
      </c>
      <c r="O279" s="4">
        <v>16</v>
      </c>
      <c r="P279" s="4">
        <v>97</v>
      </c>
      <c r="Q279" s="4" t="s">
        <v>60</v>
      </c>
      <c r="R279" s="6" t="s">
        <v>41</v>
      </c>
      <c r="S279" s="94"/>
      <c r="T279" s="94"/>
      <c r="U279" s="94"/>
      <c r="V279" s="94"/>
      <c r="W279" s="94"/>
      <c r="X279" s="94"/>
      <c r="Y279" s="94"/>
      <c r="Z279" s="94"/>
      <c r="AA279" s="94"/>
    </row>
    <row r="280" spans="1:27" ht="18" customHeight="1">
      <c r="A280" s="7" t="s">
        <v>647</v>
      </c>
      <c r="B280" s="7" t="s">
        <v>648</v>
      </c>
      <c r="C280" s="7">
        <v>39</v>
      </c>
      <c r="D280" s="7" t="s">
        <v>44</v>
      </c>
      <c r="E280" s="14" t="s">
        <v>76</v>
      </c>
      <c r="F280" s="7" t="s">
        <v>154</v>
      </c>
      <c r="G280" s="9">
        <v>43996</v>
      </c>
      <c r="H280" s="7" t="s">
        <v>78</v>
      </c>
      <c r="I280" s="7">
        <v>47103</v>
      </c>
      <c r="J280" s="7">
        <v>14176</v>
      </c>
      <c r="K280" s="7">
        <v>6033</v>
      </c>
      <c r="L280" s="7">
        <v>6436</v>
      </c>
      <c r="M280" s="7">
        <v>2814</v>
      </c>
      <c r="N280" s="7">
        <v>70934</v>
      </c>
      <c r="O280" s="7">
        <v>26</v>
      </c>
      <c r="P280" s="7">
        <v>87</v>
      </c>
      <c r="Q280" s="7" t="s">
        <v>60</v>
      </c>
      <c r="R280" s="6" t="s">
        <v>41</v>
      </c>
      <c r="S280" s="94"/>
      <c r="T280" s="94"/>
      <c r="U280" s="94"/>
      <c r="V280" s="94"/>
      <c r="W280" s="94"/>
      <c r="X280" s="94"/>
      <c r="Y280" s="94"/>
      <c r="Z280" s="94"/>
      <c r="AA280" s="94"/>
    </row>
    <row r="281" spans="1:27" ht="18" customHeight="1">
      <c r="A281" s="4" t="s">
        <v>649</v>
      </c>
      <c r="B281" s="4" t="s">
        <v>650</v>
      </c>
      <c r="C281" s="4">
        <v>30</v>
      </c>
      <c r="D281" s="4" t="s">
        <v>44</v>
      </c>
      <c r="E281" s="5" t="s">
        <v>111</v>
      </c>
      <c r="F281" s="4" t="s">
        <v>37</v>
      </c>
      <c r="G281" s="12">
        <v>44737</v>
      </c>
      <c r="H281" s="4" t="s">
        <v>90</v>
      </c>
      <c r="I281" s="4">
        <v>65038</v>
      </c>
      <c r="J281" s="4">
        <v>25846</v>
      </c>
      <c r="K281" s="4">
        <v>3783</v>
      </c>
      <c r="L281" s="4">
        <v>1439</v>
      </c>
      <c r="M281" s="4">
        <v>6288</v>
      </c>
      <c r="N281" s="4">
        <v>89818</v>
      </c>
      <c r="O281" s="4">
        <v>24</v>
      </c>
      <c r="P281" s="4">
        <v>45</v>
      </c>
      <c r="Q281" s="4" t="s">
        <v>40</v>
      </c>
      <c r="R281" s="6" t="s">
        <v>41</v>
      </c>
      <c r="S281" s="94"/>
      <c r="T281" s="94"/>
      <c r="U281" s="94"/>
      <c r="V281" s="94"/>
      <c r="W281" s="94"/>
      <c r="X281" s="94"/>
      <c r="Y281" s="94"/>
      <c r="Z281" s="94"/>
      <c r="AA281" s="94"/>
    </row>
    <row r="282" spans="1:27" ht="18" customHeight="1">
      <c r="A282" s="7" t="s">
        <v>651</v>
      </c>
      <c r="B282" s="7" t="s">
        <v>351</v>
      </c>
      <c r="C282" s="7">
        <v>38</v>
      </c>
      <c r="D282" s="7" t="s">
        <v>52</v>
      </c>
      <c r="E282" s="14" t="s">
        <v>76</v>
      </c>
      <c r="F282" s="7" t="s">
        <v>99</v>
      </c>
      <c r="G282" s="9">
        <v>42268</v>
      </c>
      <c r="H282" s="7" t="s">
        <v>90</v>
      </c>
      <c r="I282" s="7">
        <v>29088</v>
      </c>
      <c r="J282" s="7">
        <v>13454</v>
      </c>
      <c r="K282" s="7">
        <v>11484</v>
      </c>
      <c r="L282" s="7">
        <v>3318</v>
      </c>
      <c r="M282" s="7">
        <v>7301</v>
      </c>
      <c r="N282" s="7">
        <v>50043</v>
      </c>
      <c r="O282" s="7">
        <v>24</v>
      </c>
      <c r="P282" s="7">
        <v>53</v>
      </c>
      <c r="Q282" s="7" t="s">
        <v>73</v>
      </c>
      <c r="R282" s="13" t="s">
        <v>67</v>
      </c>
      <c r="S282" s="94"/>
      <c r="T282" s="94"/>
      <c r="U282" s="94"/>
      <c r="V282" s="94"/>
      <c r="W282" s="94"/>
      <c r="X282" s="94"/>
      <c r="Y282" s="94"/>
      <c r="Z282" s="94"/>
      <c r="AA282" s="94"/>
    </row>
    <row r="283" spans="1:27" ht="18" customHeight="1">
      <c r="A283" s="4" t="s">
        <v>652</v>
      </c>
      <c r="B283" s="4" t="s">
        <v>653</v>
      </c>
      <c r="C283" s="4">
        <v>37</v>
      </c>
      <c r="D283" s="4" t="s">
        <v>163</v>
      </c>
      <c r="E283" s="11" t="s">
        <v>53</v>
      </c>
      <c r="F283" s="4" t="s">
        <v>87</v>
      </c>
      <c r="G283" s="4" t="s">
        <v>654</v>
      </c>
      <c r="H283" s="4" t="s">
        <v>78</v>
      </c>
      <c r="I283" s="4">
        <v>63141</v>
      </c>
      <c r="J283" s="4">
        <v>20633</v>
      </c>
      <c r="K283" s="4">
        <v>10210</v>
      </c>
      <c r="L283" s="4">
        <v>4181</v>
      </c>
      <c r="M283" s="4">
        <v>1741</v>
      </c>
      <c r="N283" s="4">
        <v>96424</v>
      </c>
      <c r="O283" s="4">
        <v>-21</v>
      </c>
      <c r="P283" s="4">
        <v>63</v>
      </c>
      <c r="Q283" s="4" t="s">
        <v>48</v>
      </c>
      <c r="R283" s="13" t="s">
        <v>67</v>
      </c>
      <c r="S283" s="94"/>
      <c r="T283" s="94"/>
      <c r="U283" s="94"/>
      <c r="V283" s="94"/>
      <c r="W283" s="94"/>
      <c r="X283" s="94"/>
      <c r="Y283" s="94"/>
      <c r="Z283" s="94"/>
      <c r="AA283" s="94"/>
    </row>
    <row r="284" spans="1:27" ht="18" customHeight="1">
      <c r="A284" s="7" t="s">
        <v>655</v>
      </c>
      <c r="B284" s="7" t="s">
        <v>656</v>
      </c>
      <c r="C284" s="7">
        <v>24</v>
      </c>
      <c r="D284" s="7" t="s">
        <v>44</v>
      </c>
      <c r="E284" s="13" t="s">
        <v>63</v>
      </c>
      <c r="F284" s="7" t="s">
        <v>115</v>
      </c>
      <c r="G284" s="9">
        <v>42813</v>
      </c>
      <c r="H284" s="7" t="s">
        <v>196</v>
      </c>
      <c r="I284" s="7">
        <v>99162</v>
      </c>
      <c r="J284" s="7">
        <v>42826</v>
      </c>
      <c r="K284" s="7">
        <v>4395</v>
      </c>
      <c r="L284" s="7">
        <v>6028</v>
      </c>
      <c r="M284" s="7">
        <v>6996</v>
      </c>
      <c r="N284" s="7">
        <v>145415</v>
      </c>
      <c r="O284" s="7">
        <v>22</v>
      </c>
      <c r="P284" s="7">
        <v>100</v>
      </c>
      <c r="Q284" s="7" t="s">
        <v>60</v>
      </c>
      <c r="R284" s="6" t="s">
        <v>41</v>
      </c>
      <c r="S284" s="94"/>
      <c r="T284" s="94"/>
      <c r="U284" s="94"/>
      <c r="V284" s="94"/>
      <c r="W284" s="94"/>
      <c r="X284" s="94"/>
      <c r="Y284" s="94"/>
      <c r="Z284" s="94"/>
      <c r="AA284" s="94"/>
    </row>
    <row r="285" spans="1:27" ht="18" customHeight="1">
      <c r="A285" s="4" t="s">
        <v>657</v>
      </c>
      <c r="B285" s="4" t="s">
        <v>658</v>
      </c>
      <c r="C285" s="4">
        <v>24</v>
      </c>
      <c r="D285" s="4" t="s">
        <v>52</v>
      </c>
      <c r="E285" s="11" t="s">
        <v>53</v>
      </c>
      <c r="F285" s="4" t="s">
        <v>208</v>
      </c>
      <c r="G285" s="12">
        <v>42315</v>
      </c>
      <c r="H285" s="4" t="s">
        <v>47</v>
      </c>
      <c r="I285" s="4">
        <v>92880</v>
      </c>
      <c r="J285" s="4">
        <v>44726</v>
      </c>
      <c r="K285" s="4">
        <v>7918</v>
      </c>
      <c r="L285" s="4">
        <v>3179</v>
      </c>
      <c r="M285" s="4">
        <v>4847</v>
      </c>
      <c r="N285" s="4">
        <v>143856</v>
      </c>
      <c r="O285" s="4">
        <v>22</v>
      </c>
      <c r="P285" s="4">
        <v>96</v>
      </c>
      <c r="Q285" s="4" t="s">
        <v>48</v>
      </c>
      <c r="R285" s="6" t="s">
        <v>41</v>
      </c>
      <c r="S285" s="94"/>
      <c r="T285" s="94"/>
      <c r="U285" s="94"/>
      <c r="V285" s="94"/>
      <c r="W285" s="94"/>
      <c r="X285" s="94"/>
      <c r="Y285" s="94"/>
      <c r="Z285" s="94"/>
      <c r="AA285" s="94"/>
    </row>
    <row r="286" spans="1:27" ht="18" customHeight="1">
      <c r="A286" s="7" t="s">
        <v>659</v>
      </c>
      <c r="B286" s="7" t="s">
        <v>660</v>
      </c>
      <c r="C286" s="7">
        <v>55</v>
      </c>
      <c r="D286" s="7" t="s">
        <v>52</v>
      </c>
      <c r="E286" s="14" t="s">
        <v>76</v>
      </c>
      <c r="F286" s="7" t="s">
        <v>226</v>
      </c>
      <c r="G286" s="9">
        <v>43756</v>
      </c>
      <c r="H286" s="7" t="s">
        <v>65</v>
      </c>
      <c r="I286" s="7">
        <v>99732</v>
      </c>
      <c r="J286" s="7">
        <v>33387</v>
      </c>
      <c r="K286" s="7">
        <v>12709</v>
      </c>
      <c r="L286" s="7">
        <v>3100</v>
      </c>
      <c r="M286" s="7">
        <v>3992</v>
      </c>
      <c r="N286" s="7">
        <v>144936</v>
      </c>
      <c r="O286" s="7">
        <v>24</v>
      </c>
      <c r="P286" s="7">
        <v>81</v>
      </c>
      <c r="Q286" s="7" t="s">
        <v>66</v>
      </c>
      <c r="R286" s="6" t="s">
        <v>41</v>
      </c>
      <c r="S286" s="94"/>
      <c r="T286" s="94"/>
      <c r="U286" s="94"/>
      <c r="V286" s="94"/>
      <c r="W286" s="94"/>
      <c r="X286" s="94"/>
      <c r="Y286" s="94"/>
      <c r="Z286" s="94"/>
      <c r="AA286" s="94"/>
    </row>
    <row r="287" spans="1:27" ht="18" customHeight="1">
      <c r="A287" s="4" t="s">
        <v>661</v>
      </c>
      <c r="B287" s="4" t="s">
        <v>662</v>
      </c>
      <c r="C287" s="4">
        <v>35</v>
      </c>
      <c r="D287" s="4" t="s">
        <v>44</v>
      </c>
      <c r="E287" s="11" t="s">
        <v>53</v>
      </c>
      <c r="F287" s="4" t="s">
        <v>54</v>
      </c>
      <c r="G287" s="12">
        <v>44793</v>
      </c>
      <c r="H287" s="4" t="s">
        <v>196</v>
      </c>
      <c r="I287" s="4">
        <v>25864</v>
      </c>
      <c r="J287" s="4">
        <v>10355</v>
      </c>
      <c r="K287" s="4">
        <v>4276</v>
      </c>
      <c r="L287" s="4">
        <v>3603</v>
      </c>
      <c r="M287" s="4">
        <v>2356</v>
      </c>
      <c r="N287" s="4">
        <v>41742</v>
      </c>
      <c r="O287" s="4">
        <v>18</v>
      </c>
      <c r="P287" s="4">
        <v>44</v>
      </c>
      <c r="Q287" s="4" t="s">
        <v>48</v>
      </c>
      <c r="R287" s="6" t="s">
        <v>41</v>
      </c>
      <c r="S287" s="94"/>
      <c r="T287" s="94"/>
      <c r="U287" s="94"/>
      <c r="V287" s="94"/>
      <c r="W287" s="94"/>
      <c r="X287" s="94"/>
      <c r="Y287" s="94"/>
      <c r="Z287" s="94"/>
      <c r="AA287" s="94"/>
    </row>
    <row r="288" spans="1:27" ht="18" customHeight="1">
      <c r="A288" s="7" t="s">
        <v>663</v>
      </c>
      <c r="B288" s="7" t="s">
        <v>664</v>
      </c>
      <c r="C288" s="7">
        <v>48</v>
      </c>
      <c r="D288" s="7" t="s">
        <v>52</v>
      </c>
      <c r="E288" s="14" t="s">
        <v>76</v>
      </c>
      <c r="F288" s="7" t="s">
        <v>99</v>
      </c>
      <c r="G288" s="9">
        <v>43307</v>
      </c>
      <c r="H288" s="7" t="s">
        <v>55</v>
      </c>
      <c r="I288" s="7">
        <v>68283</v>
      </c>
      <c r="J288" s="7">
        <v>30321</v>
      </c>
      <c r="K288" s="7">
        <v>9889</v>
      </c>
      <c r="L288" s="7">
        <v>5531</v>
      </c>
      <c r="M288" s="7">
        <v>4922</v>
      </c>
      <c r="N288" s="7">
        <v>109102</v>
      </c>
      <c r="O288" s="7">
        <v>22</v>
      </c>
      <c r="P288" s="7">
        <v>53</v>
      </c>
      <c r="Q288" s="7" t="s">
        <v>48</v>
      </c>
      <c r="R288" s="6" t="s">
        <v>41</v>
      </c>
      <c r="S288" s="94"/>
      <c r="T288" s="94"/>
      <c r="U288" s="94"/>
      <c r="V288" s="94"/>
      <c r="W288" s="94"/>
      <c r="X288" s="94"/>
      <c r="Y288" s="94"/>
      <c r="Z288" s="94"/>
      <c r="AA288" s="94"/>
    </row>
    <row r="289" spans="1:27" ht="18" customHeight="1">
      <c r="A289" s="4" t="s">
        <v>665</v>
      </c>
      <c r="B289" s="4" t="s">
        <v>666</v>
      </c>
      <c r="C289" s="4">
        <v>55</v>
      </c>
      <c r="D289" s="4" t="s">
        <v>52</v>
      </c>
      <c r="E289" s="10" t="s">
        <v>58</v>
      </c>
      <c r="F289" s="4" t="s">
        <v>59</v>
      </c>
      <c r="G289" s="12">
        <v>43056</v>
      </c>
      <c r="H289" s="4" t="s">
        <v>84</v>
      </c>
      <c r="I289" s="4">
        <v>30136</v>
      </c>
      <c r="J289" s="4">
        <v>14410</v>
      </c>
      <c r="K289" s="4">
        <v>4406</v>
      </c>
      <c r="L289" s="4">
        <v>458</v>
      </c>
      <c r="M289" s="4">
        <v>2362</v>
      </c>
      <c r="N289" s="4">
        <v>47048</v>
      </c>
      <c r="O289" s="4">
        <v>19</v>
      </c>
      <c r="P289" s="4">
        <v>99</v>
      </c>
      <c r="Q289" s="4" t="s">
        <v>40</v>
      </c>
      <c r="R289" s="13" t="s">
        <v>67</v>
      </c>
      <c r="S289" s="94"/>
      <c r="T289" s="94"/>
      <c r="U289" s="94"/>
      <c r="V289" s="94"/>
      <c r="W289" s="94"/>
      <c r="X289" s="94"/>
      <c r="Y289" s="94"/>
      <c r="Z289" s="94"/>
      <c r="AA289" s="94"/>
    </row>
    <row r="290" spans="1:27" ht="18" customHeight="1">
      <c r="A290" s="7" t="s">
        <v>667</v>
      </c>
      <c r="B290" s="7" t="s">
        <v>668</v>
      </c>
      <c r="C290" s="7">
        <v>33</v>
      </c>
      <c r="D290" s="7" t="s">
        <v>52</v>
      </c>
      <c r="E290" s="14" t="s">
        <v>76</v>
      </c>
      <c r="F290" s="7" t="s">
        <v>226</v>
      </c>
      <c r="G290" s="9">
        <v>42475</v>
      </c>
      <c r="H290" s="7" t="s">
        <v>90</v>
      </c>
      <c r="I290" s="7">
        <v>104498</v>
      </c>
      <c r="J290" s="7">
        <v>52098</v>
      </c>
      <c r="K290" s="7">
        <v>9891</v>
      </c>
      <c r="L290" s="7">
        <v>1397</v>
      </c>
      <c r="M290" s="7">
        <v>2797</v>
      </c>
      <c r="N290" s="7">
        <v>165087</v>
      </c>
      <c r="O290" s="7">
        <v>21</v>
      </c>
      <c r="P290" s="7">
        <v>78</v>
      </c>
      <c r="Q290" s="7" t="s">
        <v>73</v>
      </c>
      <c r="R290" s="10" t="s">
        <v>49</v>
      </c>
      <c r="S290" s="94"/>
      <c r="T290" s="94"/>
      <c r="U290" s="94"/>
      <c r="V290" s="94"/>
      <c r="W290" s="94"/>
      <c r="X290" s="94"/>
      <c r="Y290" s="94"/>
      <c r="Z290" s="94"/>
      <c r="AA290" s="94"/>
    </row>
    <row r="291" spans="1:27" ht="18" customHeight="1">
      <c r="A291" s="4" t="s">
        <v>669</v>
      </c>
      <c r="B291" s="4" t="s">
        <v>670</v>
      </c>
      <c r="C291" s="4">
        <v>31</v>
      </c>
      <c r="D291" s="4" t="s">
        <v>44</v>
      </c>
      <c r="E291" s="14" t="s">
        <v>76</v>
      </c>
      <c r="F291" s="4" t="s">
        <v>226</v>
      </c>
      <c r="G291" s="12">
        <v>44853</v>
      </c>
      <c r="H291" s="4" t="s">
        <v>90</v>
      </c>
      <c r="I291" s="4">
        <v>34023</v>
      </c>
      <c r="J291" s="4">
        <v>11771</v>
      </c>
      <c r="K291" s="4">
        <v>8315</v>
      </c>
      <c r="L291" s="4">
        <v>1083</v>
      </c>
      <c r="M291" s="4">
        <v>1889</v>
      </c>
      <c r="N291" s="4">
        <v>53303</v>
      </c>
      <c r="O291" s="4">
        <v>15</v>
      </c>
      <c r="P291" s="4">
        <v>52</v>
      </c>
      <c r="Q291" s="4" t="s">
        <v>48</v>
      </c>
      <c r="R291" s="6" t="s">
        <v>41</v>
      </c>
      <c r="S291" s="94"/>
      <c r="T291" s="94"/>
      <c r="U291" s="94"/>
      <c r="V291" s="94"/>
      <c r="W291" s="94"/>
      <c r="X291" s="94"/>
      <c r="Y291" s="94"/>
      <c r="Z291" s="94"/>
      <c r="AA291" s="94"/>
    </row>
    <row r="292" spans="1:27" ht="18" customHeight="1">
      <c r="A292" s="7" t="s">
        <v>671</v>
      </c>
      <c r="B292" s="7" t="s">
        <v>672</v>
      </c>
      <c r="C292" s="7">
        <v>49</v>
      </c>
      <c r="D292" s="7" t="s">
        <v>52</v>
      </c>
      <c r="E292" s="10" t="s">
        <v>58</v>
      </c>
      <c r="F292" s="7" t="s">
        <v>96</v>
      </c>
      <c r="G292" s="9">
        <v>45194</v>
      </c>
      <c r="H292" s="7" t="s">
        <v>90</v>
      </c>
      <c r="I292" s="7">
        <v>40403</v>
      </c>
      <c r="J292" s="7">
        <v>12874</v>
      </c>
      <c r="K292" s="7">
        <v>12803</v>
      </c>
      <c r="L292" s="7">
        <v>1067</v>
      </c>
      <c r="M292" s="7">
        <v>5943</v>
      </c>
      <c r="N292" s="7">
        <v>61204</v>
      </c>
      <c r="O292" s="7">
        <v>23</v>
      </c>
      <c r="P292" s="7">
        <v>92</v>
      </c>
      <c r="Q292" s="7" t="s">
        <v>48</v>
      </c>
      <c r="R292" s="6" t="s">
        <v>41</v>
      </c>
      <c r="S292" s="94"/>
      <c r="T292" s="94"/>
      <c r="U292" s="94"/>
      <c r="V292" s="94"/>
      <c r="W292" s="94"/>
      <c r="X292" s="94"/>
      <c r="Y292" s="94"/>
      <c r="Z292" s="94"/>
      <c r="AA292" s="94"/>
    </row>
    <row r="293" spans="1:27" ht="18" customHeight="1">
      <c r="A293" s="4" t="s">
        <v>673</v>
      </c>
      <c r="B293" s="4" t="s">
        <v>674</v>
      </c>
      <c r="C293" s="4">
        <v>30</v>
      </c>
      <c r="D293" s="4" t="s">
        <v>44</v>
      </c>
      <c r="E293" s="5" t="s">
        <v>111</v>
      </c>
      <c r="F293" s="4" t="s">
        <v>128</v>
      </c>
      <c r="G293" s="12">
        <v>44754</v>
      </c>
      <c r="H293" s="4" t="s">
        <v>65</v>
      </c>
      <c r="I293" s="4">
        <v>102207</v>
      </c>
      <c r="J293" s="4">
        <v>47110</v>
      </c>
      <c r="K293" s="4">
        <v>14477</v>
      </c>
      <c r="L293" s="4">
        <v>6858</v>
      </c>
      <c r="M293" s="4">
        <v>6707</v>
      </c>
      <c r="N293" s="4">
        <v>163945</v>
      </c>
      <c r="O293" s="4">
        <v>24</v>
      </c>
      <c r="P293" s="4">
        <v>46</v>
      </c>
      <c r="Q293" s="4" t="s">
        <v>40</v>
      </c>
      <c r="R293" s="6" t="s">
        <v>41</v>
      </c>
      <c r="S293" s="94"/>
      <c r="T293" s="94"/>
      <c r="U293" s="94"/>
      <c r="V293" s="94"/>
      <c r="W293" s="94"/>
      <c r="X293" s="94"/>
      <c r="Y293" s="94"/>
      <c r="Z293" s="94"/>
      <c r="AA293" s="94"/>
    </row>
    <row r="294" spans="1:27" ht="18" customHeight="1">
      <c r="A294" s="7" t="s">
        <v>675</v>
      </c>
      <c r="B294" s="7" t="s">
        <v>676</v>
      </c>
      <c r="C294" s="7">
        <v>46</v>
      </c>
      <c r="D294" s="7" t="s">
        <v>52</v>
      </c>
      <c r="E294" s="11" t="s">
        <v>53</v>
      </c>
      <c r="F294" s="7" t="s">
        <v>87</v>
      </c>
      <c r="G294" s="9">
        <v>43556</v>
      </c>
      <c r="H294" s="7" t="s">
        <v>47</v>
      </c>
      <c r="I294" s="7">
        <v>117949</v>
      </c>
      <c r="J294" s="7">
        <v>52927</v>
      </c>
      <c r="K294" s="7">
        <v>2116</v>
      </c>
      <c r="L294" s="7">
        <v>4734</v>
      </c>
      <c r="M294" s="7">
        <v>5280</v>
      </c>
      <c r="N294" s="7">
        <v>172446</v>
      </c>
      <c r="O294" s="7">
        <v>16</v>
      </c>
      <c r="P294" s="7">
        <v>73</v>
      </c>
      <c r="Q294" s="7" t="s">
        <v>60</v>
      </c>
      <c r="R294" s="6" t="s">
        <v>41</v>
      </c>
      <c r="S294" s="94"/>
      <c r="T294" s="94"/>
      <c r="U294" s="94"/>
      <c r="V294" s="94"/>
      <c r="W294" s="94"/>
      <c r="X294" s="94"/>
      <c r="Y294" s="94"/>
      <c r="Z294" s="94"/>
      <c r="AA294" s="94"/>
    </row>
    <row r="295" spans="1:27" ht="18" customHeight="1">
      <c r="A295" s="4" t="s">
        <v>677</v>
      </c>
      <c r="B295" s="4" t="s">
        <v>678</v>
      </c>
      <c r="C295" s="4">
        <v>39</v>
      </c>
      <c r="D295" s="4" t="s">
        <v>44</v>
      </c>
      <c r="E295" s="5" t="s">
        <v>111</v>
      </c>
      <c r="F295" s="4" t="s">
        <v>217</v>
      </c>
      <c r="G295" s="12">
        <v>42443</v>
      </c>
      <c r="H295" s="4" t="s">
        <v>47</v>
      </c>
      <c r="I295" s="4">
        <v>110403</v>
      </c>
      <c r="J295" s="4">
        <v>46046</v>
      </c>
      <c r="K295" s="4">
        <v>6281</v>
      </c>
      <c r="L295" s="4">
        <v>7003</v>
      </c>
      <c r="M295" s="4">
        <v>5391</v>
      </c>
      <c r="N295" s="4">
        <v>164342</v>
      </c>
      <c r="O295" s="4">
        <v>21</v>
      </c>
      <c r="P295" s="4">
        <v>76</v>
      </c>
      <c r="Q295" s="4" t="s">
        <v>66</v>
      </c>
      <c r="R295" s="6" t="s">
        <v>41</v>
      </c>
      <c r="S295" s="94"/>
      <c r="T295" s="94"/>
      <c r="U295" s="94"/>
      <c r="V295" s="94"/>
      <c r="W295" s="94"/>
      <c r="X295" s="94"/>
      <c r="Y295" s="94"/>
      <c r="Z295" s="94"/>
      <c r="AA295" s="94"/>
    </row>
    <row r="296" spans="1:27" ht="18" customHeight="1">
      <c r="A296" s="7" t="s">
        <v>679</v>
      </c>
      <c r="B296" s="7" t="s">
        <v>680</v>
      </c>
      <c r="C296" s="7">
        <v>29</v>
      </c>
      <c r="D296" s="7" t="s">
        <v>52</v>
      </c>
      <c r="E296" s="10" t="s">
        <v>58</v>
      </c>
      <c r="F296" s="7" t="s">
        <v>105</v>
      </c>
      <c r="G296" s="9">
        <v>42904</v>
      </c>
      <c r="H296" s="7" t="s">
        <v>47</v>
      </c>
      <c r="I296" s="7">
        <v>97733</v>
      </c>
      <c r="J296" s="7">
        <v>38776</v>
      </c>
      <c r="K296" s="7">
        <v>7024</v>
      </c>
      <c r="L296" s="7">
        <v>4732</v>
      </c>
      <c r="M296" s="7">
        <v>3820</v>
      </c>
      <c r="N296" s="7">
        <v>144445</v>
      </c>
      <c r="O296" s="7">
        <v>26</v>
      </c>
      <c r="P296" s="7">
        <v>65</v>
      </c>
      <c r="Q296" s="7" t="s">
        <v>73</v>
      </c>
      <c r="R296" s="6" t="s">
        <v>41</v>
      </c>
      <c r="S296" s="94"/>
      <c r="T296" s="94"/>
      <c r="U296" s="94"/>
      <c r="V296" s="94"/>
      <c r="W296" s="94"/>
      <c r="X296" s="94"/>
      <c r="Y296" s="94"/>
      <c r="Z296" s="94"/>
      <c r="AA296" s="94"/>
    </row>
    <row r="297" spans="1:27" ht="18" customHeight="1">
      <c r="A297" s="4" t="s">
        <v>681</v>
      </c>
      <c r="B297" s="4" t="s">
        <v>682</v>
      </c>
      <c r="C297" s="4">
        <v>46</v>
      </c>
      <c r="D297" s="4" t="s">
        <v>52</v>
      </c>
      <c r="E297" s="8" t="s">
        <v>45</v>
      </c>
      <c r="F297" s="4" t="s">
        <v>306</v>
      </c>
      <c r="G297" s="12">
        <v>45133</v>
      </c>
      <c r="H297" s="4" t="s">
        <v>47</v>
      </c>
      <c r="I297" s="4">
        <v>69359</v>
      </c>
      <c r="J297" s="4">
        <v>31917</v>
      </c>
      <c r="K297" s="4">
        <v>12060</v>
      </c>
      <c r="L297" s="4">
        <v>5710</v>
      </c>
      <c r="M297" s="4">
        <v>6607</v>
      </c>
      <c r="N297" s="4">
        <v>112439</v>
      </c>
      <c r="O297" s="4">
        <v>26</v>
      </c>
      <c r="P297" s="4">
        <v>43</v>
      </c>
      <c r="Q297" s="4" t="s">
        <v>73</v>
      </c>
      <c r="R297" s="6" t="s">
        <v>41</v>
      </c>
      <c r="S297" s="94"/>
      <c r="T297" s="94"/>
      <c r="U297" s="94"/>
      <c r="V297" s="94"/>
      <c r="W297" s="94"/>
      <c r="X297" s="94"/>
      <c r="Y297" s="94"/>
      <c r="Z297" s="94"/>
      <c r="AA297" s="94"/>
    </row>
    <row r="298" spans="1:27" ht="18" customHeight="1">
      <c r="A298" s="7" t="s">
        <v>683</v>
      </c>
      <c r="B298" s="7" t="s">
        <v>684</v>
      </c>
      <c r="C298" s="7">
        <v>55</v>
      </c>
      <c r="D298" s="7" t="s">
        <v>44</v>
      </c>
      <c r="E298" s="5" t="s">
        <v>111</v>
      </c>
      <c r="F298" s="7" t="s">
        <v>37</v>
      </c>
      <c r="G298" s="9">
        <v>42409</v>
      </c>
      <c r="H298" s="7" t="s">
        <v>65</v>
      </c>
      <c r="I298" s="7">
        <v>54067</v>
      </c>
      <c r="J298" s="7">
        <v>20230</v>
      </c>
      <c r="K298" s="7">
        <v>11978</v>
      </c>
      <c r="L298" s="7">
        <v>309</v>
      </c>
      <c r="M298" s="7">
        <v>6935</v>
      </c>
      <c r="N298" s="7">
        <v>79649</v>
      </c>
      <c r="O298" s="7">
        <v>21</v>
      </c>
      <c r="P298" s="7">
        <v>99</v>
      </c>
      <c r="Q298" s="7" t="s">
        <v>73</v>
      </c>
      <c r="R298" s="10" t="s">
        <v>49</v>
      </c>
      <c r="S298" s="94"/>
      <c r="T298" s="94"/>
      <c r="U298" s="94"/>
      <c r="V298" s="94"/>
      <c r="W298" s="94"/>
      <c r="X298" s="94"/>
      <c r="Y298" s="94"/>
      <c r="Z298" s="94"/>
      <c r="AA298" s="94"/>
    </row>
    <row r="299" spans="1:27" ht="18" customHeight="1">
      <c r="A299" s="4" t="s">
        <v>685</v>
      </c>
      <c r="B299" s="4" t="s">
        <v>686</v>
      </c>
      <c r="C299" s="4">
        <v>32</v>
      </c>
      <c r="D299" s="4" t="s">
        <v>52</v>
      </c>
      <c r="E299" s="14" t="s">
        <v>76</v>
      </c>
      <c r="F299" s="4" t="s">
        <v>77</v>
      </c>
      <c r="G299" s="12">
        <v>44568</v>
      </c>
      <c r="H299" s="4" t="s">
        <v>47</v>
      </c>
      <c r="I299" s="4">
        <v>111099</v>
      </c>
      <c r="J299" s="4">
        <v>54011</v>
      </c>
      <c r="K299" s="4">
        <v>10489</v>
      </c>
      <c r="L299" s="4">
        <v>2342</v>
      </c>
      <c r="M299" s="4">
        <v>2595</v>
      </c>
      <c r="N299" s="4">
        <v>175346</v>
      </c>
      <c r="O299" s="4">
        <v>15</v>
      </c>
      <c r="P299" s="4">
        <v>90</v>
      </c>
      <c r="Q299" s="4" t="s">
        <v>40</v>
      </c>
      <c r="R299" s="6" t="s">
        <v>41</v>
      </c>
      <c r="S299" s="94"/>
      <c r="T299" s="94"/>
      <c r="U299" s="94"/>
      <c r="V299" s="94"/>
      <c r="W299" s="94"/>
      <c r="X299" s="94"/>
      <c r="Y299" s="94"/>
      <c r="Z299" s="94"/>
      <c r="AA299" s="94"/>
    </row>
    <row r="300" spans="1:27" ht="18" customHeight="1">
      <c r="A300" s="7" t="s">
        <v>687</v>
      </c>
      <c r="B300" s="7" t="s">
        <v>414</v>
      </c>
      <c r="C300" s="7">
        <v>27</v>
      </c>
      <c r="D300" s="7" t="s">
        <v>52</v>
      </c>
      <c r="E300" s="13" t="s">
        <v>63</v>
      </c>
      <c r="F300" s="7" t="s">
        <v>64</v>
      </c>
      <c r="G300" s="9">
        <v>43658</v>
      </c>
      <c r="H300" s="7" t="s">
        <v>90</v>
      </c>
      <c r="I300" s="7">
        <v>112773</v>
      </c>
      <c r="J300" s="7">
        <v>42744</v>
      </c>
      <c r="K300" s="7">
        <v>11602</v>
      </c>
      <c r="L300" s="7">
        <v>1640</v>
      </c>
      <c r="M300" s="7">
        <v>5241</v>
      </c>
      <c r="N300" s="7">
        <v>163518</v>
      </c>
      <c r="O300" s="7">
        <v>15</v>
      </c>
      <c r="P300" s="7">
        <v>87</v>
      </c>
      <c r="Q300" s="7" t="s">
        <v>48</v>
      </c>
      <c r="R300" s="6" t="s">
        <v>41</v>
      </c>
      <c r="S300" s="94"/>
      <c r="T300" s="94"/>
      <c r="U300" s="94"/>
      <c r="V300" s="94"/>
      <c r="W300" s="94"/>
      <c r="X300" s="94"/>
      <c r="Y300" s="94"/>
      <c r="Z300" s="94"/>
      <c r="AA300" s="94"/>
    </row>
    <row r="301" spans="1:27" ht="18" customHeight="1">
      <c r="A301" s="4" t="s">
        <v>688</v>
      </c>
      <c r="B301" s="4" t="s">
        <v>689</v>
      </c>
      <c r="C301" s="4">
        <v>54</v>
      </c>
      <c r="D301" s="4" t="s">
        <v>44</v>
      </c>
      <c r="E301" s="11" t="s">
        <v>53</v>
      </c>
      <c r="F301" s="4" t="s">
        <v>54</v>
      </c>
      <c r="G301" s="12">
        <v>43575</v>
      </c>
      <c r="H301" s="4" t="s">
        <v>55</v>
      </c>
      <c r="I301" s="4">
        <v>50496</v>
      </c>
      <c r="J301" s="4">
        <v>19742</v>
      </c>
      <c r="K301" s="4">
        <v>8618</v>
      </c>
      <c r="L301" s="4">
        <v>4709</v>
      </c>
      <c r="M301" s="4">
        <v>1038</v>
      </c>
      <c r="N301" s="4">
        <v>82527</v>
      </c>
      <c r="O301" s="4">
        <v>19</v>
      </c>
      <c r="P301" s="4">
        <v>51</v>
      </c>
      <c r="Q301" s="4" t="s">
        <v>60</v>
      </c>
      <c r="R301" s="13" t="s">
        <v>67</v>
      </c>
      <c r="S301" s="94"/>
      <c r="T301" s="94"/>
      <c r="U301" s="94"/>
      <c r="V301" s="94"/>
      <c r="W301" s="94"/>
      <c r="X301" s="94"/>
      <c r="Y301" s="94"/>
      <c r="Z301" s="94"/>
      <c r="AA301" s="94"/>
    </row>
    <row r="302" spans="1:27" ht="18" customHeight="1">
      <c r="A302" s="7" t="s">
        <v>690</v>
      </c>
      <c r="B302" s="7" t="s">
        <v>691</v>
      </c>
      <c r="C302" s="7">
        <v>43</v>
      </c>
      <c r="D302" s="7" t="s">
        <v>52</v>
      </c>
      <c r="E302" s="11" t="s">
        <v>53</v>
      </c>
      <c r="F302" s="7" t="s">
        <v>118</v>
      </c>
      <c r="G302" s="9">
        <v>45064</v>
      </c>
      <c r="H302" s="7" t="s">
        <v>78</v>
      </c>
      <c r="I302" s="7">
        <v>100352</v>
      </c>
      <c r="J302" s="7">
        <v>35126</v>
      </c>
      <c r="K302" s="7">
        <v>9254</v>
      </c>
      <c r="L302" s="7">
        <v>7913</v>
      </c>
      <c r="M302" s="7">
        <v>4089</v>
      </c>
      <c r="N302" s="7">
        <v>148556</v>
      </c>
      <c r="O302" s="7">
        <v>24</v>
      </c>
      <c r="P302" s="7">
        <v>70</v>
      </c>
      <c r="Q302" s="7" t="s">
        <v>48</v>
      </c>
      <c r="R302" s="6" t="s">
        <v>41</v>
      </c>
      <c r="S302" s="94"/>
      <c r="T302" s="94"/>
      <c r="U302" s="94"/>
      <c r="V302" s="94"/>
      <c r="W302" s="94"/>
      <c r="X302" s="94"/>
      <c r="Y302" s="94"/>
      <c r="Z302" s="94"/>
      <c r="AA302" s="94"/>
    </row>
    <row r="303" spans="1:27" ht="18" customHeight="1">
      <c r="A303" s="4" t="s">
        <v>692</v>
      </c>
      <c r="B303" s="4" t="s">
        <v>693</v>
      </c>
      <c r="C303" s="4">
        <v>48</v>
      </c>
      <c r="D303" s="4" t="s">
        <v>44</v>
      </c>
      <c r="E303" s="8" t="s">
        <v>634</v>
      </c>
      <c r="F303" s="4" t="s">
        <v>81</v>
      </c>
      <c r="G303" s="4" t="s">
        <v>119</v>
      </c>
      <c r="H303" s="4" t="s">
        <v>694</v>
      </c>
      <c r="I303" s="4"/>
      <c r="J303" s="4">
        <v>32072</v>
      </c>
      <c r="K303" s="4">
        <v>5610</v>
      </c>
      <c r="L303" s="4">
        <v>5545</v>
      </c>
      <c r="M303" s="4">
        <v>6744</v>
      </c>
      <c r="N303" s="4"/>
      <c r="O303" s="4">
        <v>18</v>
      </c>
      <c r="P303" s="4">
        <v>91</v>
      </c>
      <c r="Q303" s="4" t="s">
        <v>60</v>
      </c>
      <c r="R303" s="13" t="s">
        <v>67</v>
      </c>
      <c r="S303" s="94"/>
      <c r="T303" s="94"/>
      <c r="U303" s="94"/>
      <c r="V303" s="94"/>
      <c r="W303" s="94"/>
      <c r="X303" s="94"/>
      <c r="Y303" s="94"/>
      <c r="Z303" s="94"/>
      <c r="AA303" s="94"/>
    </row>
    <row r="304" spans="1:27" ht="18" customHeight="1">
      <c r="A304" s="7" t="s">
        <v>695</v>
      </c>
      <c r="B304" s="7" t="s">
        <v>696</v>
      </c>
      <c r="C304" s="7">
        <v>33</v>
      </c>
      <c r="D304" s="7" t="s">
        <v>44</v>
      </c>
      <c r="E304" s="13" t="s">
        <v>63</v>
      </c>
      <c r="F304" s="7" t="s">
        <v>102</v>
      </c>
      <c r="G304" s="9">
        <v>42573</v>
      </c>
      <c r="H304" s="7" t="s">
        <v>47</v>
      </c>
      <c r="I304" s="7">
        <v>69825</v>
      </c>
      <c r="J304" s="7">
        <v>22009</v>
      </c>
      <c r="K304" s="7">
        <v>4924</v>
      </c>
      <c r="L304" s="7">
        <v>3903</v>
      </c>
      <c r="M304" s="7">
        <v>3571</v>
      </c>
      <c r="N304" s="7">
        <v>97090</v>
      </c>
      <c r="O304" s="7">
        <v>20</v>
      </c>
      <c r="P304" s="7">
        <v>53</v>
      </c>
      <c r="Q304" s="7" t="s">
        <v>73</v>
      </c>
      <c r="R304" s="10" t="s">
        <v>49</v>
      </c>
      <c r="S304" s="94"/>
      <c r="T304" s="94"/>
      <c r="U304" s="94"/>
      <c r="V304" s="94"/>
      <c r="W304" s="94"/>
      <c r="X304" s="94"/>
      <c r="Y304" s="94"/>
      <c r="Z304" s="94"/>
      <c r="AA304" s="94"/>
    </row>
    <row r="305" spans="1:27" ht="18" customHeight="1">
      <c r="A305" s="4" t="s">
        <v>697</v>
      </c>
      <c r="B305" s="4" t="s">
        <v>698</v>
      </c>
      <c r="C305" s="4">
        <v>53</v>
      </c>
      <c r="D305" s="4" t="s">
        <v>52</v>
      </c>
      <c r="E305" s="13" t="s">
        <v>63</v>
      </c>
      <c r="F305" s="4" t="s">
        <v>70</v>
      </c>
      <c r="G305" s="12">
        <v>43563</v>
      </c>
      <c r="H305" s="4" t="s">
        <v>90</v>
      </c>
      <c r="I305" s="4">
        <v>51577</v>
      </c>
      <c r="J305" s="4">
        <v>24086</v>
      </c>
      <c r="K305" s="4">
        <v>12135</v>
      </c>
      <c r="L305" s="4">
        <v>2916</v>
      </c>
      <c r="M305" s="4">
        <v>2277</v>
      </c>
      <c r="N305" s="4">
        <v>88437</v>
      </c>
      <c r="O305" s="4">
        <v>16</v>
      </c>
      <c r="P305" s="4">
        <v>47</v>
      </c>
      <c r="Q305" s="4" t="s">
        <v>40</v>
      </c>
      <c r="R305" s="6" t="s">
        <v>41</v>
      </c>
      <c r="S305" s="94"/>
      <c r="T305" s="94"/>
      <c r="U305" s="94"/>
      <c r="V305" s="94"/>
      <c r="W305" s="94"/>
      <c r="X305" s="94"/>
      <c r="Y305" s="94"/>
      <c r="Z305" s="94"/>
      <c r="AA305" s="94"/>
    </row>
    <row r="306" spans="1:27" ht="18" customHeight="1">
      <c r="A306" s="7" t="s">
        <v>699</v>
      </c>
      <c r="B306" s="7" t="s">
        <v>700</v>
      </c>
      <c r="C306" s="7">
        <v>30</v>
      </c>
      <c r="D306" s="7" t="s">
        <v>52</v>
      </c>
      <c r="E306" s="5" t="s">
        <v>111</v>
      </c>
      <c r="F306" s="7" t="s">
        <v>217</v>
      </c>
      <c r="G306" s="9">
        <v>44062</v>
      </c>
      <c r="H306" s="7" t="s">
        <v>55</v>
      </c>
      <c r="I306" s="7">
        <v>61009</v>
      </c>
      <c r="J306" s="7">
        <v>24291</v>
      </c>
      <c r="K306" s="7">
        <v>14521</v>
      </c>
      <c r="L306" s="7">
        <v>7503</v>
      </c>
      <c r="M306" s="7">
        <v>5187</v>
      </c>
      <c r="N306" s="7">
        <v>102137</v>
      </c>
      <c r="O306" s="7">
        <v>19</v>
      </c>
      <c r="P306" s="7">
        <v>65</v>
      </c>
      <c r="Q306" s="7" t="s">
        <v>66</v>
      </c>
      <c r="R306" s="13" t="s">
        <v>67</v>
      </c>
      <c r="S306" s="94"/>
      <c r="T306" s="94"/>
      <c r="U306" s="94"/>
      <c r="V306" s="94"/>
      <c r="W306" s="94"/>
      <c r="X306" s="94"/>
      <c r="Y306" s="94"/>
      <c r="Z306" s="94"/>
      <c r="AA306" s="94"/>
    </row>
    <row r="307" spans="1:27" ht="18" customHeight="1">
      <c r="A307" s="4" t="s">
        <v>701</v>
      </c>
      <c r="B307" s="4" t="s">
        <v>702</v>
      </c>
      <c r="C307" s="4">
        <v>42</v>
      </c>
      <c r="D307" s="4" t="s">
        <v>44</v>
      </c>
      <c r="E307" s="10" t="s">
        <v>58</v>
      </c>
      <c r="F307" s="4" t="s">
        <v>96</v>
      </c>
      <c r="G307" s="12">
        <v>45090</v>
      </c>
      <c r="H307" s="4" t="s">
        <v>47</v>
      </c>
      <c r="I307" s="4">
        <v>114959</v>
      </c>
      <c r="J307" s="4">
        <v>52327</v>
      </c>
      <c r="K307" s="4">
        <v>9490</v>
      </c>
      <c r="L307" s="4">
        <v>7999</v>
      </c>
      <c r="M307" s="4">
        <v>1986</v>
      </c>
      <c r="N307" s="4">
        <v>182789</v>
      </c>
      <c r="O307" s="4">
        <v>26</v>
      </c>
      <c r="P307" s="4">
        <v>73</v>
      </c>
      <c r="Q307" s="4" t="s">
        <v>73</v>
      </c>
      <c r="R307" s="6" t="s">
        <v>41</v>
      </c>
      <c r="S307" s="94"/>
      <c r="T307" s="94"/>
      <c r="U307" s="94"/>
      <c r="V307" s="94"/>
      <c r="W307" s="94"/>
      <c r="X307" s="94"/>
      <c r="Y307" s="94"/>
      <c r="Z307" s="94"/>
      <c r="AA307" s="94"/>
    </row>
    <row r="308" spans="1:27" ht="18" customHeight="1">
      <c r="A308" s="7" t="s">
        <v>703</v>
      </c>
      <c r="B308" s="7" t="s">
        <v>704</v>
      </c>
      <c r="C308" s="7">
        <v>45</v>
      </c>
      <c r="D308" s="7" t="s">
        <v>44</v>
      </c>
      <c r="E308" s="5" t="s">
        <v>111</v>
      </c>
      <c r="F308" s="7" t="s">
        <v>112</v>
      </c>
      <c r="G308" s="9">
        <v>44002</v>
      </c>
      <c r="H308" s="7" t="s">
        <v>196</v>
      </c>
      <c r="I308" s="7">
        <v>59039</v>
      </c>
      <c r="J308" s="7">
        <v>19922</v>
      </c>
      <c r="K308" s="7">
        <v>6306</v>
      </c>
      <c r="L308" s="7">
        <v>1942</v>
      </c>
      <c r="M308" s="7">
        <v>3206</v>
      </c>
      <c r="N308" s="7">
        <v>84003</v>
      </c>
      <c r="O308" s="7">
        <v>22</v>
      </c>
      <c r="P308" s="7">
        <v>79</v>
      </c>
      <c r="Q308" s="7" t="s">
        <v>66</v>
      </c>
      <c r="R308" s="6" t="s">
        <v>41</v>
      </c>
      <c r="S308" s="94"/>
      <c r="T308" s="94"/>
      <c r="U308" s="94"/>
      <c r="V308" s="94"/>
      <c r="W308" s="94"/>
      <c r="X308" s="94"/>
      <c r="Y308" s="94"/>
      <c r="Z308" s="94"/>
      <c r="AA308" s="94"/>
    </row>
    <row r="309" spans="1:27" ht="18" customHeight="1">
      <c r="A309" s="4" t="s">
        <v>705</v>
      </c>
      <c r="B309" s="4" t="s">
        <v>706</v>
      </c>
      <c r="C309" s="4">
        <v>39</v>
      </c>
      <c r="D309" s="4" t="s">
        <v>52</v>
      </c>
      <c r="E309" s="14" t="s">
        <v>76</v>
      </c>
      <c r="F309" s="4" t="s">
        <v>226</v>
      </c>
      <c r="G309" s="12">
        <v>44021</v>
      </c>
      <c r="H309" s="4" t="s">
        <v>78</v>
      </c>
      <c r="I309" s="4">
        <v>84077</v>
      </c>
      <c r="J309" s="4">
        <v>28248</v>
      </c>
      <c r="K309" s="4">
        <v>4148</v>
      </c>
      <c r="L309" s="4">
        <v>4717</v>
      </c>
      <c r="M309" s="4">
        <v>6619</v>
      </c>
      <c r="N309" s="4">
        <v>114571</v>
      </c>
      <c r="O309" s="4">
        <v>18</v>
      </c>
      <c r="P309" s="4">
        <v>92</v>
      </c>
      <c r="Q309" s="4" t="s">
        <v>66</v>
      </c>
      <c r="R309" s="6" t="s">
        <v>41</v>
      </c>
      <c r="S309" s="94"/>
      <c r="T309" s="94"/>
      <c r="U309" s="94"/>
      <c r="V309" s="94"/>
      <c r="W309" s="94"/>
      <c r="X309" s="94"/>
      <c r="Y309" s="94"/>
      <c r="Z309" s="94"/>
      <c r="AA309" s="94"/>
    </row>
    <row r="310" spans="1:27" ht="18" customHeight="1">
      <c r="A310" s="7" t="s">
        <v>707</v>
      </c>
      <c r="B310" s="7" t="s">
        <v>708</v>
      </c>
      <c r="C310" s="7">
        <v>53</v>
      </c>
      <c r="D310" s="7" t="s">
        <v>44</v>
      </c>
      <c r="E310" s="13" t="s">
        <v>63</v>
      </c>
      <c r="F310" s="7" t="s">
        <v>70</v>
      </c>
      <c r="G310" s="9">
        <v>42973</v>
      </c>
      <c r="H310" s="7" t="s">
        <v>65</v>
      </c>
      <c r="I310" s="7">
        <v>26276</v>
      </c>
      <c r="J310" s="7">
        <v>8811</v>
      </c>
      <c r="K310" s="7">
        <v>10185</v>
      </c>
      <c r="L310" s="7">
        <v>1101</v>
      </c>
      <c r="M310" s="7">
        <v>7958</v>
      </c>
      <c r="N310" s="7">
        <v>38415</v>
      </c>
      <c r="O310" s="7">
        <v>25</v>
      </c>
      <c r="P310" s="7">
        <v>73</v>
      </c>
      <c r="Q310" s="7" t="s">
        <v>40</v>
      </c>
      <c r="R310" s="6" t="s">
        <v>41</v>
      </c>
      <c r="S310" s="94"/>
      <c r="T310" s="94"/>
      <c r="U310" s="94"/>
      <c r="V310" s="94"/>
      <c r="W310" s="94"/>
      <c r="X310" s="94"/>
      <c r="Y310" s="94"/>
      <c r="Z310" s="94"/>
      <c r="AA310" s="94"/>
    </row>
    <row r="311" spans="1:27" ht="18" customHeight="1">
      <c r="A311" s="4" t="s">
        <v>709</v>
      </c>
      <c r="B311" s="4" t="s">
        <v>710</v>
      </c>
      <c r="C311" s="4">
        <v>45</v>
      </c>
      <c r="D311" s="4" t="s">
        <v>44</v>
      </c>
      <c r="E311" s="5" t="s">
        <v>111</v>
      </c>
      <c r="F311" s="4" t="s">
        <v>112</v>
      </c>
      <c r="G311" s="12">
        <v>42742</v>
      </c>
      <c r="H311" s="4" t="s">
        <v>65</v>
      </c>
      <c r="I311" s="4">
        <v>58330</v>
      </c>
      <c r="J311" s="4">
        <v>23058</v>
      </c>
      <c r="K311" s="4">
        <v>12319</v>
      </c>
      <c r="L311" s="4">
        <v>788</v>
      </c>
      <c r="M311" s="4">
        <v>4685</v>
      </c>
      <c r="N311" s="4">
        <v>89810</v>
      </c>
      <c r="O311" s="4">
        <v>26</v>
      </c>
      <c r="P311" s="4">
        <v>61</v>
      </c>
      <c r="Q311" s="4" t="s">
        <v>60</v>
      </c>
      <c r="R311" s="13" t="s">
        <v>67</v>
      </c>
      <c r="S311" s="94"/>
      <c r="T311" s="94"/>
      <c r="U311" s="94"/>
      <c r="V311" s="94"/>
      <c r="W311" s="94"/>
      <c r="X311" s="94"/>
      <c r="Y311" s="94"/>
      <c r="Z311" s="94"/>
      <c r="AA311" s="94"/>
    </row>
    <row r="312" spans="1:27" ht="18" customHeight="1">
      <c r="A312" s="7" t="s">
        <v>711</v>
      </c>
      <c r="B312" s="7" t="s">
        <v>712</v>
      </c>
      <c r="C312" s="7">
        <v>40</v>
      </c>
      <c r="D312" s="7" t="s">
        <v>52</v>
      </c>
      <c r="E312" s="11" t="s">
        <v>53</v>
      </c>
      <c r="F312" s="7" t="s">
        <v>118</v>
      </c>
      <c r="G312" s="9">
        <v>44239</v>
      </c>
      <c r="H312" s="7" t="s">
        <v>65</v>
      </c>
      <c r="I312" s="7">
        <v>114074</v>
      </c>
      <c r="J312" s="7">
        <v>56196</v>
      </c>
      <c r="K312" s="7">
        <v>5259</v>
      </c>
      <c r="L312" s="7">
        <v>4725</v>
      </c>
      <c r="M312" s="7">
        <v>5717</v>
      </c>
      <c r="N312" s="7">
        <v>174537</v>
      </c>
      <c r="O312" s="7">
        <v>25</v>
      </c>
      <c r="P312" s="7">
        <v>81</v>
      </c>
      <c r="Q312" s="7" t="s">
        <v>66</v>
      </c>
      <c r="R312" s="6" t="s">
        <v>41</v>
      </c>
      <c r="S312" s="94"/>
      <c r="T312" s="94"/>
      <c r="U312" s="94"/>
      <c r="V312" s="94"/>
      <c r="W312" s="94"/>
      <c r="X312" s="94"/>
      <c r="Y312" s="94"/>
      <c r="Z312" s="94"/>
      <c r="AA312" s="94"/>
    </row>
    <row r="313" spans="1:27" ht="18" customHeight="1">
      <c r="A313" s="4" t="s">
        <v>713</v>
      </c>
      <c r="B313" s="4" t="s">
        <v>714</v>
      </c>
      <c r="C313" s="4">
        <v>48</v>
      </c>
      <c r="D313" s="4" t="s">
        <v>44</v>
      </c>
      <c r="E313" s="14" t="s">
        <v>76</v>
      </c>
      <c r="F313" s="4" t="s">
        <v>77</v>
      </c>
      <c r="G313" s="12">
        <v>42571</v>
      </c>
      <c r="H313" s="4" t="s">
        <v>47</v>
      </c>
      <c r="I313" s="4">
        <v>62555</v>
      </c>
      <c r="J313" s="4">
        <v>24569</v>
      </c>
      <c r="K313" s="4">
        <v>4373</v>
      </c>
      <c r="L313" s="4">
        <v>7112</v>
      </c>
      <c r="M313" s="4">
        <v>2372</v>
      </c>
      <c r="N313" s="4">
        <v>96237</v>
      </c>
      <c r="O313" s="4">
        <v>25</v>
      </c>
      <c r="P313" s="4">
        <v>91</v>
      </c>
      <c r="Q313" s="4" t="s">
        <v>40</v>
      </c>
      <c r="R313" s="13" t="s">
        <v>67</v>
      </c>
      <c r="S313" s="94"/>
      <c r="T313" s="94"/>
      <c r="U313" s="94"/>
      <c r="V313" s="94"/>
      <c r="W313" s="94"/>
      <c r="X313" s="94"/>
      <c r="Y313" s="94"/>
      <c r="Z313" s="94"/>
      <c r="AA313" s="94"/>
    </row>
    <row r="314" spans="1:27" ht="18" customHeight="1">
      <c r="A314" s="7" t="s">
        <v>715</v>
      </c>
      <c r="B314" s="7" t="s">
        <v>716</v>
      </c>
      <c r="C314" s="7">
        <v>50</v>
      </c>
      <c r="D314" s="7" t="s">
        <v>44</v>
      </c>
      <c r="E314" s="8" t="s">
        <v>45</v>
      </c>
      <c r="F314" s="7" t="s">
        <v>306</v>
      </c>
      <c r="G314" s="9">
        <v>43932</v>
      </c>
      <c r="H314" s="7" t="s">
        <v>78</v>
      </c>
      <c r="I314" s="7">
        <v>66533</v>
      </c>
      <c r="J314" s="7">
        <v>28649</v>
      </c>
      <c r="K314" s="7">
        <v>13639</v>
      </c>
      <c r="L314" s="7">
        <v>2191</v>
      </c>
      <c r="M314" s="7">
        <v>5959</v>
      </c>
      <c r="N314" s="7">
        <v>105053</v>
      </c>
      <c r="O314" s="7">
        <v>25</v>
      </c>
      <c r="P314" s="7">
        <v>65</v>
      </c>
      <c r="Q314" s="7" t="s">
        <v>48</v>
      </c>
      <c r="R314" s="6" t="s">
        <v>41</v>
      </c>
      <c r="S314" s="94"/>
      <c r="T314" s="94"/>
      <c r="U314" s="94"/>
      <c r="V314" s="94"/>
      <c r="W314" s="94"/>
      <c r="X314" s="94"/>
      <c r="Y314" s="94"/>
      <c r="Z314" s="94"/>
      <c r="AA314" s="94"/>
    </row>
    <row r="315" spans="1:27" ht="18" customHeight="1">
      <c r="A315" s="4" t="s">
        <v>717</v>
      </c>
      <c r="B315" s="4" t="s">
        <v>718</v>
      </c>
      <c r="C315" s="4">
        <v>35</v>
      </c>
      <c r="D315" s="4" t="s">
        <v>52</v>
      </c>
      <c r="E315" s="5" t="s">
        <v>111</v>
      </c>
      <c r="F315" s="4" t="s">
        <v>37</v>
      </c>
      <c r="G315" s="12">
        <v>42822</v>
      </c>
      <c r="H315" s="4" t="s">
        <v>196</v>
      </c>
      <c r="I315" s="4">
        <v>28027</v>
      </c>
      <c r="J315" s="4">
        <v>9109</v>
      </c>
      <c r="K315" s="4">
        <v>5844</v>
      </c>
      <c r="L315" s="4">
        <v>5423</v>
      </c>
      <c r="M315" s="4">
        <v>3061</v>
      </c>
      <c r="N315" s="4">
        <v>45342</v>
      </c>
      <c r="O315" s="4">
        <v>26</v>
      </c>
      <c r="P315" s="4">
        <v>84</v>
      </c>
      <c r="Q315" s="4" t="s">
        <v>40</v>
      </c>
      <c r="R315" s="6" t="s">
        <v>41</v>
      </c>
      <c r="S315" s="94"/>
      <c r="T315" s="94"/>
      <c r="U315" s="94"/>
      <c r="V315" s="94"/>
      <c r="W315" s="94"/>
      <c r="X315" s="94"/>
      <c r="Y315" s="94"/>
      <c r="Z315" s="94"/>
      <c r="AA315" s="94"/>
    </row>
    <row r="316" spans="1:27" ht="18" customHeight="1">
      <c r="A316" s="7" t="s">
        <v>719</v>
      </c>
      <c r="B316" s="7" t="s">
        <v>720</v>
      </c>
      <c r="C316" s="7">
        <v>41</v>
      </c>
      <c r="D316" s="7" t="s">
        <v>44</v>
      </c>
      <c r="E316" s="5" t="s">
        <v>111</v>
      </c>
      <c r="F316" s="7" t="s">
        <v>112</v>
      </c>
      <c r="G316" s="9">
        <v>42202</v>
      </c>
      <c r="H316" s="7" t="s">
        <v>196</v>
      </c>
      <c r="I316" s="7">
        <v>35911</v>
      </c>
      <c r="J316" s="7">
        <v>11520</v>
      </c>
      <c r="K316" s="7">
        <v>12126</v>
      </c>
      <c r="L316" s="7">
        <v>1272</v>
      </c>
      <c r="M316" s="7">
        <v>1690</v>
      </c>
      <c r="N316" s="7">
        <v>59139</v>
      </c>
      <c r="O316" s="7">
        <v>25</v>
      </c>
      <c r="P316" s="7">
        <v>99</v>
      </c>
      <c r="Q316" s="7" t="s">
        <v>66</v>
      </c>
      <c r="R316" s="6" t="s">
        <v>41</v>
      </c>
      <c r="S316" s="94"/>
      <c r="T316" s="94"/>
      <c r="U316" s="94"/>
      <c r="V316" s="94"/>
      <c r="W316" s="94"/>
      <c r="X316" s="94"/>
      <c r="Y316" s="94"/>
      <c r="Z316" s="94"/>
      <c r="AA316" s="94"/>
    </row>
    <row r="317" spans="1:27" ht="18" customHeight="1">
      <c r="A317" s="4" t="s">
        <v>721</v>
      </c>
      <c r="B317" s="4" t="s">
        <v>722</v>
      </c>
      <c r="C317" s="4">
        <v>50</v>
      </c>
      <c r="D317" s="4" t="s">
        <v>44</v>
      </c>
      <c r="E317" s="14" t="s">
        <v>76</v>
      </c>
      <c r="F317" s="4" t="s">
        <v>154</v>
      </c>
      <c r="G317" s="12">
        <v>43005</v>
      </c>
      <c r="H317" s="4" t="s">
        <v>196</v>
      </c>
      <c r="I317" s="4">
        <v>47361</v>
      </c>
      <c r="J317" s="4">
        <v>14479</v>
      </c>
      <c r="K317" s="4">
        <v>12871</v>
      </c>
      <c r="L317" s="4">
        <v>2923</v>
      </c>
      <c r="M317" s="4">
        <v>3664</v>
      </c>
      <c r="N317" s="4">
        <v>73970</v>
      </c>
      <c r="O317" s="4">
        <v>22</v>
      </c>
      <c r="P317" s="4">
        <v>69</v>
      </c>
      <c r="Q317" s="4" t="s">
        <v>48</v>
      </c>
      <c r="R317" s="10" t="s">
        <v>49</v>
      </c>
      <c r="S317" s="94"/>
      <c r="T317" s="94"/>
      <c r="U317" s="94"/>
      <c r="V317" s="94"/>
      <c r="W317" s="94"/>
      <c r="X317" s="94"/>
      <c r="Y317" s="94"/>
      <c r="Z317" s="94"/>
      <c r="AA317" s="94"/>
    </row>
    <row r="318" spans="1:27" ht="18" customHeight="1">
      <c r="A318" s="7" t="s">
        <v>723</v>
      </c>
      <c r="B318" s="7" t="s">
        <v>724</v>
      </c>
      <c r="C318" s="7">
        <v>50</v>
      </c>
      <c r="D318" s="7" t="s">
        <v>52</v>
      </c>
      <c r="E318" s="10" t="s">
        <v>58</v>
      </c>
      <c r="F318" s="7" t="s">
        <v>105</v>
      </c>
      <c r="G318" s="9">
        <v>44460</v>
      </c>
      <c r="H318" s="7" t="s">
        <v>65</v>
      </c>
      <c r="I318" s="7">
        <v>108824</v>
      </c>
      <c r="J318" s="7">
        <v>44265</v>
      </c>
      <c r="K318" s="7">
        <v>7688</v>
      </c>
      <c r="L318" s="7">
        <v>3945</v>
      </c>
      <c r="M318" s="7">
        <v>5420</v>
      </c>
      <c r="N318" s="7">
        <v>159302</v>
      </c>
      <c r="O318" s="7">
        <v>-18</v>
      </c>
      <c r="P318" s="7">
        <v>91</v>
      </c>
      <c r="Q318" s="7" t="s">
        <v>73</v>
      </c>
      <c r="R318" s="6" t="s">
        <v>41</v>
      </c>
      <c r="S318" s="94"/>
      <c r="T318" s="94"/>
      <c r="U318" s="94"/>
      <c r="V318" s="94"/>
      <c r="W318" s="94"/>
      <c r="X318" s="94"/>
      <c r="Y318" s="94"/>
      <c r="Z318" s="94"/>
      <c r="AA318" s="94"/>
    </row>
    <row r="319" spans="1:27" ht="18" customHeight="1">
      <c r="A319" s="4" t="s">
        <v>725</v>
      </c>
      <c r="B319" s="4" t="s">
        <v>726</v>
      </c>
      <c r="C319" s="4">
        <v>52</v>
      </c>
      <c r="D319" s="4" t="s">
        <v>44</v>
      </c>
      <c r="E319" s="11" t="s">
        <v>53</v>
      </c>
      <c r="F319" s="4" t="s">
        <v>118</v>
      </c>
      <c r="G319" s="12">
        <v>42274</v>
      </c>
      <c r="H319" s="4" t="s">
        <v>65</v>
      </c>
      <c r="I319" s="4">
        <v>42865</v>
      </c>
      <c r="J319" s="4">
        <v>15808</v>
      </c>
      <c r="K319" s="4">
        <v>9687</v>
      </c>
      <c r="L319" s="4">
        <v>4383</v>
      </c>
      <c r="M319" s="4">
        <v>1068</v>
      </c>
      <c r="N319" s="4">
        <v>71675</v>
      </c>
      <c r="O319" s="4">
        <v>26</v>
      </c>
      <c r="P319" s="4">
        <v>99</v>
      </c>
      <c r="Q319" s="4" t="s">
        <v>60</v>
      </c>
      <c r="R319" s="6" t="s">
        <v>41</v>
      </c>
      <c r="S319" s="94"/>
      <c r="T319" s="94"/>
      <c r="U319" s="94"/>
      <c r="V319" s="94"/>
      <c r="W319" s="94"/>
      <c r="X319" s="94"/>
      <c r="Y319" s="94"/>
      <c r="Z319" s="94"/>
      <c r="AA319" s="94"/>
    </row>
    <row r="320" spans="1:27" ht="18" customHeight="1">
      <c r="A320" s="7" t="s">
        <v>727</v>
      </c>
      <c r="B320" s="7" t="s">
        <v>238</v>
      </c>
      <c r="C320" s="7">
        <v>46</v>
      </c>
      <c r="D320" s="7" t="s">
        <v>44</v>
      </c>
      <c r="E320" s="10" t="s">
        <v>58</v>
      </c>
      <c r="F320" s="7" t="s">
        <v>59</v>
      </c>
      <c r="G320" s="9">
        <v>42259</v>
      </c>
      <c r="H320" s="7" t="s">
        <v>196</v>
      </c>
      <c r="I320" s="7">
        <v>49716</v>
      </c>
      <c r="J320" s="7">
        <v>19009</v>
      </c>
      <c r="K320" s="7">
        <v>11184</v>
      </c>
      <c r="L320" s="7">
        <v>3580</v>
      </c>
      <c r="M320" s="7">
        <v>4233</v>
      </c>
      <c r="N320" s="7">
        <v>79256</v>
      </c>
      <c r="O320" s="7">
        <v>18</v>
      </c>
      <c r="P320" s="7">
        <v>50</v>
      </c>
      <c r="Q320" s="7" t="s">
        <v>73</v>
      </c>
      <c r="R320" s="6" t="s">
        <v>41</v>
      </c>
      <c r="S320" s="94"/>
      <c r="T320" s="94"/>
      <c r="U320" s="94"/>
      <c r="V320" s="94"/>
      <c r="W320" s="94"/>
      <c r="X320" s="94"/>
      <c r="Y320" s="94"/>
      <c r="Z320" s="94"/>
      <c r="AA320" s="94"/>
    </row>
    <row r="321" spans="1:27" ht="18" customHeight="1">
      <c r="A321" s="4" t="s">
        <v>728</v>
      </c>
      <c r="B321" s="4" t="s">
        <v>729</v>
      </c>
      <c r="C321" s="4">
        <v>40</v>
      </c>
      <c r="D321" s="4" t="s">
        <v>52</v>
      </c>
      <c r="E321" s="10" t="s">
        <v>58</v>
      </c>
      <c r="F321" s="4" t="s">
        <v>93</v>
      </c>
      <c r="G321" s="12">
        <v>43793</v>
      </c>
      <c r="H321" s="4" t="s">
        <v>55</v>
      </c>
      <c r="I321" s="4">
        <v>94722</v>
      </c>
      <c r="J321" s="4">
        <v>43739</v>
      </c>
      <c r="K321" s="4">
        <v>8765</v>
      </c>
      <c r="L321" s="4">
        <v>1540</v>
      </c>
      <c r="M321" s="4">
        <v>7991</v>
      </c>
      <c r="N321" s="4">
        <v>140775</v>
      </c>
      <c r="O321" s="4">
        <v>16</v>
      </c>
      <c r="P321" s="4">
        <v>51</v>
      </c>
      <c r="Q321" s="4" t="s">
        <v>66</v>
      </c>
      <c r="R321" s="10" t="s">
        <v>49</v>
      </c>
      <c r="S321" s="94"/>
      <c r="T321" s="94"/>
      <c r="U321" s="94"/>
      <c r="V321" s="94"/>
      <c r="W321" s="94"/>
      <c r="X321" s="94"/>
      <c r="Y321" s="94"/>
      <c r="Z321" s="94"/>
      <c r="AA321" s="94"/>
    </row>
    <row r="322" spans="1:27" ht="18" customHeight="1">
      <c r="A322" s="7" t="s">
        <v>730</v>
      </c>
      <c r="B322" s="7" t="s">
        <v>731</v>
      </c>
      <c r="C322" s="7">
        <v>30</v>
      </c>
      <c r="D322" s="7" t="s">
        <v>44</v>
      </c>
      <c r="E322" s="11" t="s">
        <v>53</v>
      </c>
      <c r="F322" s="7" t="s">
        <v>87</v>
      </c>
      <c r="G322" s="9">
        <v>43252</v>
      </c>
      <c r="H322" s="7" t="s">
        <v>47</v>
      </c>
      <c r="I322" s="7">
        <v>44942</v>
      </c>
      <c r="J322" s="7">
        <v>13929</v>
      </c>
      <c r="K322" s="7">
        <v>10764</v>
      </c>
      <c r="L322" s="7">
        <v>181</v>
      </c>
      <c r="M322" s="7">
        <v>2523</v>
      </c>
      <c r="N322" s="7">
        <v>67293</v>
      </c>
      <c r="O322" s="7">
        <v>16</v>
      </c>
      <c r="P322" s="7">
        <v>58</v>
      </c>
      <c r="Q322" s="7" t="s">
        <v>73</v>
      </c>
      <c r="R322" s="6" t="s">
        <v>41</v>
      </c>
      <c r="S322" s="94"/>
      <c r="T322" s="94"/>
      <c r="U322" s="94"/>
      <c r="V322" s="94"/>
      <c r="W322" s="94"/>
      <c r="X322" s="94"/>
      <c r="Y322" s="94"/>
      <c r="Z322" s="94"/>
      <c r="AA322" s="94"/>
    </row>
    <row r="323" spans="1:27" ht="18" customHeight="1">
      <c r="A323" s="4" t="s">
        <v>732</v>
      </c>
      <c r="B323" s="4" t="s">
        <v>733</v>
      </c>
      <c r="C323" s="4">
        <v>43</v>
      </c>
      <c r="D323" s="4" t="s">
        <v>163</v>
      </c>
      <c r="E323" s="8" t="s">
        <v>45</v>
      </c>
      <c r="F323" s="4" t="s">
        <v>306</v>
      </c>
      <c r="G323" s="4" t="s">
        <v>734</v>
      </c>
      <c r="H323" s="4" t="s">
        <v>55</v>
      </c>
      <c r="I323" s="4">
        <v>69815</v>
      </c>
      <c r="J323" s="4">
        <v>26812</v>
      </c>
      <c r="K323" s="4">
        <v>14873</v>
      </c>
      <c r="L323" s="4">
        <v>6549</v>
      </c>
      <c r="M323" s="4">
        <v>5082</v>
      </c>
      <c r="N323" s="4">
        <v>112967</v>
      </c>
      <c r="O323" s="4">
        <v>20</v>
      </c>
      <c r="P323" s="4">
        <v>69</v>
      </c>
      <c r="Q323" s="4" t="s">
        <v>66</v>
      </c>
      <c r="R323" s="6" t="s">
        <v>41</v>
      </c>
      <c r="S323" s="94"/>
      <c r="T323" s="94"/>
      <c r="U323" s="94"/>
      <c r="V323" s="94"/>
      <c r="W323" s="94"/>
      <c r="X323" s="94"/>
      <c r="Y323" s="94"/>
      <c r="Z323" s="94"/>
      <c r="AA323" s="94"/>
    </row>
    <row r="324" spans="1:27" ht="18" customHeight="1">
      <c r="A324" s="7" t="s">
        <v>735</v>
      </c>
      <c r="B324" s="7" t="s">
        <v>736</v>
      </c>
      <c r="C324" s="7">
        <v>50</v>
      </c>
      <c r="D324" s="7" t="s">
        <v>44</v>
      </c>
      <c r="E324" s="8" t="s">
        <v>45</v>
      </c>
      <c r="F324" s="7" t="s">
        <v>81</v>
      </c>
      <c r="G324" s="9">
        <v>42852</v>
      </c>
      <c r="H324" s="7" t="s">
        <v>196</v>
      </c>
      <c r="I324" s="7">
        <v>57778</v>
      </c>
      <c r="J324" s="7">
        <v>26777</v>
      </c>
      <c r="K324" s="7">
        <v>2206</v>
      </c>
      <c r="L324" s="7">
        <v>999</v>
      </c>
      <c r="M324" s="7">
        <v>7292</v>
      </c>
      <c r="N324" s="7">
        <v>80468</v>
      </c>
      <c r="O324" s="7">
        <v>26</v>
      </c>
      <c r="P324" s="7">
        <v>55</v>
      </c>
      <c r="Q324" s="7" t="s">
        <v>66</v>
      </c>
      <c r="R324" s="10" t="s">
        <v>49</v>
      </c>
      <c r="S324" s="94"/>
      <c r="T324" s="94"/>
      <c r="U324" s="94"/>
      <c r="V324" s="94"/>
      <c r="W324" s="94"/>
      <c r="X324" s="94"/>
      <c r="Y324" s="94"/>
      <c r="Z324" s="94"/>
      <c r="AA324" s="94"/>
    </row>
    <row r="325" spans="1:27" ht="18" customHeight="1">
      <c r="A325" s="4" t="s">
        <v>737</v>
      </c>
      <c r="B325" s="4" t="s">
        <v>738</v>
      </c>
      <c r="C325" s="4">
        <v>55</v>
      </c>
      <c r="D325" s="4" t="s">
        <v>52</v>
      </c>
      <c r="E325" s="14" t="s">
        <v>76</v>
      </c>
      <c r="F325" s="4" t="s">
        <v>99</v>
      </c>
      <c r="G325" s="12">
        <v>45237</v>
      </c>
      <c r="H325" s="4" t="s">
        <v>55</v>
      </c>
      <c r="I325" s="4">
        <v>86974</v>
      </c>
      <c r="J325" s="4">
        <v>32861</v>
      </c>
      <c r="K325" s="4">
        <v>7113</v>
      </c>
      <c r="L325" s="4">
        <v>7669</v>
      </c>
      <c r="M325" s="4">
        <v>3646</v>
      </c>
      <c r="N325" s="4">
        <v>130971</v>
      </c>
      <c r="O325" s="4">
        <v>17</v>
      </c>
      <c r="P325" s="4">
        <v>80</v>
      </c>
      <c r="Q325" s="4" t="s">
        <v>60</v>
      </c>
      <c r="R325" s="6" t="s">
        <v>41</v>
      </c>
      <c r="S325" s="94"/>
      <c r="T325" s="94"/>
      <c r="U325" s="94"/>
      <c r="V325" s="94"/>
      <c r="W325" s="94"/>
      <c r="X325" s="94"/>
      <c r="Y325" s="94"/>
      <c r="Z325" s="94"/>
      <c r="AA325" s="94"/>
    </row>
    <row r="326" spans="1:27" ht="18" customHeight="1">
      <c r="A326" s="7" t="s">
        <v>739</v>
      </c>
      <c r="B326" s="7" t="s">
        <v>740</v>
      </c>
      <c r="C326" s="7">
        <v>29</v>
      </c>
      <c r="D326" s="7" t="s">
        <v>44</v>
      </c>
      <c r="E326" s="13" t="s">
        <v>63</v>
      </c>
      <c r="F326" s="7" t="s">
        <v>102</v>
      </c>
      <c r="G326" s="9">
        <v>42315</v>
      </c>
      <c r="H326" s="7" t="s">
        <v>84</v>
      </c>
      <c r="I326" s="7">
        <v>39801</v>
      </c>
      <c r="J326" s="7">
        <v>13819</v>
      </c>
      <c r="K326" s="7">
        <v>9113</v>
      </c>
      <c r="L326" s="7">
        <v>2658</v>
      </c>
      <c r="M326" s="7">
        <v>1123</v>
      </c>
      <c r="N326" s="7">
        <v>64268</v>
      </c>
      <c r="O326" s="7">
        <v>17</v>
      </c>
      <c r="P326" s="7">
        <v>90</v>
      </c>
      <c r="Q326" s="7" t="s">
        <v>48</v>
      </c>
      <c r="R326" s="6" t="s">
        <v>41</v>
      </c>
      <c r="S326" s="94"/>
      <c r="T326" s="94"/>
      <c r="U326" s="94"/>
      <c r="V326" s="94"/>
      <c r="W326" s="94"/>
      <c r="X326" s="94"/>
      <c r="Y326" s="94"/>
      <c r="Z326" s="94"/>
      <c r="AA326" s="94"/>
    </row>
    <row r="327" spans="1:27" ht="18" customHeight="1">
      <c r="A327" s="4" t="s">
        <v>741</v>
      </c>
      <c r="B327" s="4" t="s">
        <v>742</v>
      </c>
      <c r="C327" s="4">
        <v>25</v>
      </c>
      <c r="D327" s="4" t="s">
        <v>52</v>
      </c>
      <c r="E327" s="14" t="s">
        <v>76</v>
      </c>
      <c r="F327" s="4" t="s">
        <v>77</v>
      </c>
      <c r="G327" s="12">
        <v>42911</v>
      </c>
      <c r="H327" s="4" t="s">
        <v>65</v>
      </c>
      <c r="I327" s="4">
        <v>36728</v>
      </c>
      <c r="J327" s="4">
        <v>12845</v>
      </c>
      <c r="K327" s="4">
        <v>10190</v>
      </c>
      <c r="L327" s="4">
        <v>748</v>
      </c>
      <c r="M327" s="4">
        <v>6619</v>
      </c>
      <c r="N327" s="4">
        <v>53892</v>
      </c>
      <c r="O327" s="4">
        <v>24</v>
      </c>
      <c r="P327" s="4">
        <v>61</v>
      </c>
      <c r="Q327" s="4" t="s">
        <v>48</v>
      </c>
      <c r="R327" s="10" t="s">
        <v>49</v>
      </c>
      <c r="S327" s="94"/>
      <c r="T327" s="94"/>
      <c r="U327" s="94"/>
      <c r="V327" s="94"/>
      <c r="W327" s="94"/>
      <c r="X327" s="94"/>
      <c r="Y327" s="94"/>
      <c r="Z327" s="94"/>
      <c r="AA327" s="94"/>
    </row>
    <row r="328" spans="1:27" ht="18" customHeight="1">
      <c r="A328" s="7" t="s">
        <v>743</v>
      </c>
      <c r="B328" s="7" t="s">
        <v>744</v>
      </c>
      <c r="C328" s="7">
        <v>23</v>
      </c>
      <c r="D328" s="7" t="s">
        <v>52</v>
      </c>
      <c r="E328" s="8" t="s">
        <v>45</v>
      </c>
      <c r="F328" s="7" t="s">
        <v>306</v>
      </c>
      <c r="G328" s="9">
        <v>44662</v>
      </c>
      <c r="H328" s="7" t="s">
        <v>47</v>
      </c>
      <c r="I328" s="7"/>
      <c r="J328" s="7">
        <v>44940</v>
      </c>
      <c r="K328" s="7">
        <v>14397</v>
      </c>
      <c r="L328" s="7">
        <v>2845</v>
      </c>
      <c r="M328" s="7">
        <v>7598</v>
      </c>
      <c r="N328" s="7"/>
      <c r="O328" s="7">
        <v>22</v>
      </c>
      <c r="P328" s="7">
        <v>86</v>
      </c>
      <c r="Q328" s="7" t="s">
        <v>73</v>
      </c>
      <c r="R328" s="6" t="s">
        <v>41</v>
      </c>
      <c r="S328" s="94"/>
      <c r="T328" s="94"/>
      <c r="U328" s="94"/>
      <c r="V328" s="94"/>
      <c r="W328" s="94"/>
      <c r="X328" s="94"/>
      <c r="Y328" s="94"/>
      <c r="Z328" s="94"/>
      <c r="AA328" s="94"/>
    </row>
    <row r="329" spans="1:27" ht="18" customHeight="1">
      <c r="A329" s="4" t="s">
        <v>745</v>
      </c>
      <c r="B329" s="4" t="s">
        <v>746</v>
      </c>
      <c r="C329" s="4">
        <v>42</v>
      </c>
      <c r="D329" s="4" t="s">
        <v>44</v>
      </c>
      <c r="E329" s="11" t="s">
        <v>53</v>
      </c>
      <c r="F329" s="4" t="s">
        <v>118</v>
      </c>
      <c r="G329" s="12">
        <v>44910</v>
      </c>
      <c r="H329" s="4" t="s">
        <v>47</v>
      </c>
      <c r="I329" s="4">
        <v>98272</v>
      </c>
      <c r="J329" s="4">
        <v>35274</v>
      </c>
      <c r="K329" s="4">
        <v>13420</v>
      </c>
      <c r="L329" s="4">
        <v>4014</v>
      </c>
      <c r="M329" s="4">
        <v>2554</v>
      </c>
      <c r="N329" s="4">
        <v>148426</v>
      </c>
      <c r="O329" s="4">
        <v>24</v>
      </c>
      <c r="P329" s="4">
        <v>51</v>
      </c>
      <c r="Q329" s="4" t="s">
        <v>48</v>
      </c>
      <c r="R329" s="6" t="s">
        <v>41</v>
      </c>
      <c r="S329" s="94"/>
      <c r="T329" s="94"/>
      <c r="U329" s="94"/>
      <c r="V329" s="94"/>
      <c r="W329" s="94"/>
      <c r="X329" s="94"/>
      <c r="Y329" s="94"/>
      <c r="Z329" s="94"/>
      <c r="AA329" s="94"/>
    </row>
    <row r="330" spans="1:27" ht="18" customHeight="1">
      <c r="A330" s="7" t="s">
        <v>747</v>
      </c>
      <c r="B330" s="7" t="s">
        <v>748</v>
      </c>
      <c r="C330" s="7">
        <v>33</v>
      </c>
      <c r="D330" s="7" t="s">
        <v>44</v>
      </c>
      <c r="E330" s="13" t="s">
        <v>63</v>
      </c>
      <c r="F330" s="7" t="s">
        <v>64</v>
      </c>
      <c r="G330" s="9">
        <v>45000</v>
      </c>
      <c r="H330" s="7" t="s">
        <v>55</v>
      </c>
      <c r="I330" s="7">
        <v>63754</v>
      </c>
      <c r="J330" s="7">
        <v>29574</v>
      </c>
      <c r="K330" s="7">
        <v>10873</v>
      </c>
      <c r="L330" s="7">
        <v>3007</v>
      </c>
      <c r="M330" s="7">
        <v>4719</v>
      </c>
      <c r="N330" s="7">
        <v>102489</v>
      </c>
      <c r="O330" s="7">
        <v>15</v>
      </c>
      <c r="P330" s="7">
        <v>89</v>
      </c>
      <c r="Q330" s="7" t="s">
        <v>48</v>
      </c>
      <c r="R330" s="13" t="s">
        <v>67</v>
      </c>
      <c r="S330" s="94"/>
      <c r="T330" s="94"/>
      <c r="U330" s="94"/>
      <c r="V330" s="94"/>
      <c r="W330" s="94"/>
      <c r="X330" s="94"/>
      <c r="Y330" s="94"/>
      <c r="Z330" s="94"/>
      <c r="AA330" s="94"/>
    </row>
    <row r="331" spans="1:27" ht="18" customHeight="1">
      <c r="A331" s="4" t="s">
        <v>749</v>
      </c>
      <c r="B331" s="4" t="s">
        <v>750</v>
      </c>
      <c r="C331" s="4">
        <v>42</v>
      </c>
      <c r="D331" s="4" t="s">
        <v>44</v>
      </c>
      <c r="E331" s="13" t="s">
        <v>63</v>
      </c>
      <c r="F331" s="4" t="s">
        <v>102</v>
      </c>
      <c r="G331" s="12">
        <v>42692</v>
      </c>
      <c r="H331" s="4" t="s">
        <v>84</v>
      </c>
      <c r="I331" s="4">
        <v>75789</v>
      </c>
      <c r="J331" s="4">
        <v>25615</v>
      </c>
      <c r="K331" s="4">
        <v>13193</v>
      </c>
      <c r="L331" s="4">
        <v>4075</v>
      </c>
      <c r="M331" s="4">
        <v>7272</v>
      </c>
      <c r="N331" s="4">
        <v>111400</v>
      </c>
      <c r="O331" s="4">
        <v>23</v>
      </c>
      <c r="P331" s="4">
        <v>49</v>
      </c>
      <c r="Q331" s="4" t="s">
        <v>40</v>
      </c>
      <c r="R331" s="10" t="s">
        <v>49</v>
      </c>
      <c r="S331" s="94"/>
      <c r="T331" s="94"/>
      <c r="U331" s="94"/>
      <c r="V331" s="94"/>
      <c r="W331" s="94"/>
      <c r="X331" s="94"/>
      <c r="Y331" s="94"/>
      <c r="Z331" s="94"/>
      <c r="AA331" s="94"/>
    </row>
    <row r="332" spans="1:27" ht="18" customHeight="1">
      <c r="A332" s="7" t="s">
        <v>751</v>
      </c>
      <c r="B332" s="7" t="s">
        <v>752</v>
      </c>
      <c r="C332" s="7">
        <v>53</v>
      </c>
      <c r="D332" s="7" t="s">
        <v>44</v>
      </c>
      <c r="E332" s="10" t="s">
        <v>58</v>
      </c>
      <c r="F332" s="7" t="s">
        <v>96</v>
      </c>
      <c r="G332" s="9">
        <v>42069</v>
      </c>
      <c r="H332" s="7" t="s">
        <v>90</v>
      </c>
      <c r="I332" s="7">
        <v>29099</v>
      </c>
      <c r="J332" s="7">
        <v>9906</v>
      </c>
      <c r="K332" s="7">
        <v>9952</v>
      </c>
      <c r="L332" s="7">
        <v>1569</v>
      </c>
      <c r="M332" s="7">
        <v>1808</v>
      </c>
      <c r="N332" s="7">
        <v>48718</v>
      </c>
      <c r="O332" s="7">
        <v>15</v>
      </c>
      <c r="P332" s="7">
        <v>76</v>
      </c>
      <c r="Q332" s="7" t="s">
        <v>60</v>
      </c>
      <c r="R332" s="13" t="s">
        <v>67</v>
      </c>
      <c r="S332" s="94"/>
      <c r="T332" s="94"/>
      <c r="U332" s="94"/>
      <c r="V332" s="94"/>
      <c r="W332" s="94"/>
      <c r="X332" s="94"/>
      <c r="Y332" s="94"/>
      <c r="Z332" s="94"/>
      <c r="AA332" s="94"/>
    </row>
    <row r="333" spans="1:27" ht="18" customHeight="1">
      <c r="A333" s="4" t="s">
        <v>753</v>
      </c>
      <c r="B333" s="4" t="s">
        <v>754</v>
      </c>
      <c r="C333" s="4">
        <v>45</v>
      </c>
      <c r="D333" s="4" t="s">
        <v>52</v>
      </c>
      <c r="E333" s="8" t="s">
        <v>634</v>
      </c>
      <c r="F333" s="4" t="s">
        <v>108</v>
      </c>
      <c r="G333" s="12">
        <v>43396</v>
      </c>
      <c r="H333" s="4" t="s">
        <v>90</v>
      </c>
      <c r="I333" s="4">
        <v>34289</v>
      </c>
      <c r="J333" s="4">
        <v>10376</v>
      </c>
      <c r="K333" s="4">
        <v>5419</v>
      </c>
      <c r="L333" s="4">
        <v>5371</v>
      </c>
      <c r="M333" s="4">
        <v>5025</v>
      </c>
      <c r="N333" s="4">
        <v>50430</v>
      </c>
      <c r="O333" s="4">
        <v>16</v>
      </c>
      <c r="P333" s="4">
        <v>69</v>
      </c>
      <c r="Q333" s="4" t="s">
        <v>60</v>
      </c>
      <c r="R333" s="10" t="s">
        <v>49</v>
      </c>
      <c r="S333" s="94"/>
      <c r="T333" s="94"/>
      <c r="U333" s="94"/>
      <c r="V333" s="94"/>
      <c r="W333" s="94"/>
      <c r="X333" s="94"/>
      <c r="Y333" s="94"/>
      <c r="Z333" s="94"/>
      <c r="AA333" s="94"/>
    </row>
    <row r="334" spans="1:27" ht="18" customHeight="1">
      <c r="A334" s="7" t="s">
        <v>755</v>
      </c>
      <c r="B334" s="7" t="s">
        <v>756</v>
      </c>
      <c r="C334" s="7">
        <v>36</v>
      </c>
      <c r="D334" s="7" t="s">
        <v>52</v>
      </c>
      <c r="E334" s="14" t="s">
        <v>76</v>
      </c>
      <c r="F334" s="7" t="s">
        <v>99</v>
      </c>
      <c r="G334" s="9">
        <v>43710</v>
      </c>
      <c r="H334" s="7" t="s">
        <v>90</v>
      </c>
      <c r="I334" s="7">
        <v>34225</v>
      </c>
      <c r="J334" s="7">
        <v>15979</v>
      </c>
      <c r="K334" s="7">
        <v>3276</v>
      </c>
      <c r="L334" s="7">
        <v>7738</v>
      </c>
      <c r="M334" s="7">
        <v>2768</v>
      </c>
      <c r="N334" s="7">
        <v>58450</v>
      </c>
      <c r="O334" s="7">
        <v>23</v>
      </c>
      <c r="P334" s="7">
        <v>46</v>
      </c>
      <c r="Q334" s="7" t="s">
        <v>48</v>
      </c>
      <c r="R334" s="6" t="s">
        <v>41</v>
      </c>
      <c r="S334" s="94"/>
      <c r="T334" s="94"/>
      <c r="U334" s="94"/>
      <c r="V334" s="94"/>
      <c r="W334" s="94"/>
      <c r="X334" s="94"/>
      <c r="Y334" s="94"/>
      <c r="Z334" s="94"/>
      <c r="AA334" s="94"/>
    </row>
    <row r="335" spans="1:27" ht="18" customHeight="1">
      <c r="A335" s="4" t="s">
        <v>757</v>
      </c>
      <c r="B335" s="4" t="s">
        <v>758</v>
      </c>
      <c r="C335" s="4">
        <v>49</v>
      </c>
      <c r="D335" s="4" t="s">
        <v>44</v>
      </c>
      <c r="E335" s="14" t="s">
        <v>76</v>
      </c>
      <c r="F335" s="4" t="s">
        <v>154</v>
      </c>
      <c r="G335" s="12">
        <v>43002</v>
      </c>
      <c r="H335" s="4" t="s">
        <v>55</v>
      </c>
      <c r="I335" s="4">
        <v>98156</v>
      </c>
      <c r="J335" s="4">
        <v>37597</v>
      </c>
      <c r="K335" s="4">
        <v>3728</v>
      </c>
      <c r="L335" s="4">
        <v>6277</v>
      </c>
      <c r="M335" s="4">
        <v>6231</v>
      </c>
      <c r="N335" s="4">
        <v>139527</v>
      </c>
      <c r="O335" s="4">
        <v>24</v>
      </c>
      <c r="P335" s="4">
        <v>62</v>
      </c>
      <c r="Q335" s="4" t="s">
        <v>48</v>
      </c>
      <c r="R335" s="6" t="s">
        <v>41</v>
      </c>
      <c r="S335" s="94"/>
      <c r="T335" s="94"/>
      <c r="U335" s="94"/>
      <c r="V335" s="94"/>
      <c r="W335" s="94"/>
      <c r="X335" s="94"/>
      <c r="Y335" s="94"/>
      <c r="Z335" s="94"/>
      <c r="AA335" s="94"/>
    </row>
    <row r="336" spans="1:27" ht="18" customHeight="1">
      <c r="A336" s="7" t="s">
        <v>759</v>
      </c>
      <c r="B336" s="7" t="s">
        <v>760</v>
      </c>
      <c r="C336" s="7">
        <v>42</v>
      </c>
      <c r="D336" s="7" t="s">
        <v>44</v>
      </c>
      <c r="E336" s="5" t="s">
        <v>111</v>
      </c>
      <c r="F336" s="7" t="s">
        <v>217</v>
      </c>
      <c r="G336" s="9">
        <v>42998</v>
      </c>
      <c r="H336" s="7" t="s">
        <v>90</v>
      </c>
      <c r="I336" s="7">
        <v>83066</v>
      </c>
      <c r="J336" s="7">
        <v>40429</v>
      </c>
      <c r="K336" s="7">
        <v>7163</v>
      </c>
      <c r="L336" s="7">
        <v>4506</v>
      </c>
      <c r="M336" s="7">
        <v>3659</v>
      </c>
      <c r="N336" s="7">
        <v>131505</v>
      </c>
      <c r="O336" s="7">
        <v>20</v>
      </c>
      <c r="P336" s="7">
        <v>66</v>
      </c>
      <c r="Q336" s="7" t="s">
        <v>73</v>
      </c>
      <c r="R336" s="6" t="s">
        <v>41</v>
      </c>
      <c r="S336" s="94"/>
      <c r="T336" s="94"/>
      <c r="U336" s="94"/>
      <c r="V336" s="94"/>
      <c r="W336" s="94"/>
      <c r="X336" s="94"/>
      <c r="Y336" s="94"/>
      <c r="Z336" s="94"/>
      <c r="AA336" s="94"/>
    </row>
    <row r="337" spans="1:27" ht="18" customHeight="1">
      <c r="A337" s="4" t="s">
        <v>761</v>
      </c>
      <c r="B337" s="4" t="s">
        <v>762</v>
      </c>
      <c r="C337" s="4">
        <v>41</v>
      </c>
      <c r="D337" s="4" t="s">
        <v>52</v>
      </c>
      <c r="E337" s="5" t="s">
        <v>111</v>
      </c>
      <c r="F337" s="4" t="s">
        <v>217</v>
      </c>
      <c r="G337" s="12">
        <v>44058</v>
      </c>
      <c r="H337" s="4" t="s">
        <v>55</v>
      </c>
      <c r="I337" s="4">
        <v>77047</v>
      </c>
      <c r="J337" s="4">
        <v>23117</v>
      </c>
      <c r="K337" s="4">
        <v>2567</v>
      </c>
      <c r="L337" s="4">
        <v>2330</v>
      </c>
      <c r="M337" s="4">
        <v>5880</v>
      </c>
      <c r="N337" s="4">
        <v>99181</v>
      </c>
      <c r="O337" s="4">
        <v>15</v>
      </c>
      <c r="P337" s="4">
        <v>73</v>
      </c>
      <c r="Q337" s="4" t="s">
        <v>60</v>
      </c>
      <c r="R337" s="6" t="s">
        <v>41</v>
      </c>
      <c r="S337" s="94"/>
      <c r="T337" s="94"/>
      <c r="U337" s="94"/>
      <c r="V337" s="94"/>
      <c r="W337" s="94"/>
      <c r="X337" s="94"/>
      <c r="Y337" s="94"/>
      <c r="Z337" s="94"/>
      <c r="AA337" s="94"/>
    </row>
    <row r="338" spans="1:27" ht="18" customHeight="1">
      <c r="A338" s="7" t="s">
        <v>763</v>
      </c>
      <c r="B338" s="7" t="s">
        <v>764</v>
      </c>
      <c r="C338" s="7">
        <v>30</v>
      </c>
      <c r="D338" s="7" t="s">
        <v>52</v>
      </c>
      <c r="E338" s="8" t="s">
        <v>45</v>
      </c>
      <c r="F338" s="7" t="s">
        <v>108</v>
      </c>
      <c r="G338" s="9">
        <v>45187</v>
      </c>
      <c r="H338" s="7" t="s">
        <v>65</v>
      </c>
      <c r="I338" s="7">
        <v>99798</v>
      </c>
      <c r="J338" s="7">
        <v>48420</v>
      </c>
      <c r="K338" s="7">
        <v>4534</v>
      </c>
      <c r="L338" s="7">
        <v>772</v>
      </c>
      <c r="M338" s="7">
        <v>1309</v>
      </c>
      <c r="N338" s="7">
        <v>152215</v>
      </c>
      <c r="O338" s="7">
        <v>22</v>
      </c>
      <c r="P338" s="7">
        <v>62</v>
      </c>
      <c r="Q338" s="7" t="s">
        <v>73</v>
      </c>
      <c r="R338" s="6" t="s">
        <v>41</v>
      </c>
      <c r="S338" s="94"/>
      <c r="T338" s="94"/>
      <c r="U338" s="94"/>
      <c r="V338" s="94"/>
      <c r="W338" s="94"/>
      <c r="X338" s="94"/>
      <c r="Y338" s="94"/>
      <c r="Z338" s="94"/>
      <c r="AA338" s="94"/>
    </row>
    <row r="339" spans="1:27" ht="18" customHeight="1">
      <c r="A339" s="4" t="s">
        <v>765</v>
      </c>
      <c r="B339" s="4" t="s">
        <v>766</v>
      </c>
      <c r="C339" s="4">
        <v>33</v>
      </c>
      <c r="D339" s="4" t="s">
        <v>44</v>
      </c>
      <c r="E339" s="11" t="s">
        <v>53</v>
      </c>
      <c r="F339" s="4" t="s">
        <v>54</v>
      </c>
      <c r="G339" s="12">
        <v>42656</v>
      </c>
      <c r="H339" s="4" t="s">
        <v>84</v>
      </c>
      <c r="I339" s="4">
        <v>99588</v>
      </c>
      <c r="J339" s="4">
        <v>48158</v>
      </c>
      <c r="K339" s="4">
        <v>14030</v>
      </c>
      <c r="L339" s="4">
        <v>632</v>
      </c>
      <c r="M339" s="4">
        <v>6927</v>
      </c>
      <c r="N339" s="4">
        <v>155481</v>
      </c>
      <c r="O339" s="4">
        <v>20</v>
      </c>
      <c r="P339" s="4">
        <v>90</v>
      </c>
      <c r="Q339" s="4" t="s">
        <v>40</v>
      </c>
      <c r="R339" s="10" t="s">
        <v>49</v>
      </c>
      <c r="S339" s="94"/>
      <c r="T339" s="94"/>
      <c r="U339" s="94"/>
      <c r="V339" s="94"/>
      <c r="W339" s="94"/>
      <c r="X339" s="94"/>
      <c r="Y339" s="94"/>
      <c r="Z339" s="94"/>
      <c r="AA339" s="94"/>
    </row>
    <row r="340" spans="1:27" ht="18" customHeight="1">
      <c r="A340" s="7" t="s">
        <v>767</v>
      </c>
      <c r="B340" s="7" t="s">
        <v>768</v>
      </c>
      <c r="C340" s="7">
        <v>48</v>
      </c>
      <c r="D340" s="7" t="s">
        <v>44</v>
      </c>
      <c r="E340" s="10" t="s">
        <v>58</v>
      </c>
      <c r="F340" s="7" t="s">
        <v>93</v>
      </c>
      <c r="G340" s="9">
        <v>42364</v>
      </c>
      <c r="H340" s="7" t="s">
        <v>78</v>
      </c>
      <c r="I340" s="7">
        <v>100534</v>
      </c>
      <c r="J340" s="7">
        <v>37832</v>
      </c>
      <c r="K340" s="7">
        <v>14781</v>
      </c>
      <c r="L340" s="7">
        <v>458</v>
      </c>
      <c r="M340" s="7">
        <v>7315</v>
      </c>
      <c r="N340" s="7">
        <v>146290</v>
      </c>
      <c r="O340" s="7">
        <v>20</v>
      </c>
      <c r="P340" s="7">
        <v>62</v>
      </c>
      <c r="Q340" s="7" t="s">
        <v>73</v>
      </c>
      <c r="R340" s="6" t="s">
        <v>41</v>
      </c>
      <c r="S340" s="94"/>
      <c r="T340" s="94"/>
      <c r="U340" s="94"/>
      <c r="V340" s="94"/>
      <c r="W340" s="94"/>
      <c r="X340" s="94"/>
      <c r="Y340" s="94"/>
      <c r="Z340" s="94"/>
      <c r="AA340" s="94"/>
    </row>
    <row r="341" spans="1:27" ht="18" customHeight="1">
      <c r="A341" s="4" t="s">
        <v>769</v>
      </c>
      <c r="B341" s="4" t="s">
        <v>770</v>
      </c>
      <c r="C341" s="4">
        <v>31</v>
      </c>
      <c r="D341" s="4" t="s">
        <v>52</v>
      </c>
      <c r="E341" s="14" t="s">
        <v>76</v>
      </c>
      <c r="F341" s="4" t="s">
        <v>99</v>
      </c>
      <c r="G341" s="12">
        <v>44206</v>
      </c>
      <c r="H341" s="4" t="s">
        <v>55</v>
      </c>
      <c r="I341" s="4">
        <v>93731</v>
      </c>
      <c r="J341" s="4">
        <v>28891</v>
      </c>
      <c r="K341" s="4">
        <v>10846</v>
      </c>
      <c r="L341" s="4">
        <v>4627</v>
      </c>
      <c r="M341" s="4">
        <v>2225</v>
      </c>
      <c r="N341" s="4">
        <v>135870</v>
      </c>
      <c r="O341" s="4">
        <v>20</v>
      </c>
      <c r="P341" s="4">
        <v>72</v>
      </c>
      <c r="Q341" s="4" t="s">
        <v>66</v>
      </c>
      <c r="R341" s="10" t="s">
        <v>49</v>
      </c>
      <c r="S341" s="94"/>
      <c r="T341" s="94"/>
      <c r="U341" s="94"/>
      <c r="V341" s="94"/>
      <c r="W341" s="94"/>
      <c r="X341" s="94"/>
      <c r="Y341" s="94"/>
      <c r="Z341" s="94"/>
      <c r="AA341" s="94"/>
    </row>
    <row r="342" spans="1:27" ht="18" customHeight="1">
      <c r="A342" s="7" t="s">
        <v>771</v>
      </c>
      <c r="B342" s="7" t="s">
        <v>772</v>
      </c>
      <c r="C342" s="7">
        <v>47</v>
      </c>
      <c r="D342" s="7" t="s">
        <v>52</v>
      </c>
      <c r="E342" s="10" t="s">
        <v>58</v>
      </c>
      <c r="F342" s="7" t="s">
        <v>96</v>
      </c>
      <c r="G342" s="9">
        <v>43291</v>
      </c>
      <c r="H342" s="7" t="s">
        <v>65</v>
      </c>
      <c r="I342" s="7">
        <v>76684</v>
      </c>
      <c r="J342" s="7">
        <v>25275</v>
      </c>
      <c r="K342" s="7">
        <v>7507</v>
      </c>
      <c r="L342" s="7">
        <v>676</v>
      </c>
      <c r="M342" s="7">
        <v>4898</v>
      </c>
      <c r="N342" s="7">
        <v>105244</v>
      </c>
      <c r="O342" s="7">
        <v>24</v>
      </c>
      <c r="P342" s="7">
        <v>87</v>
      </c>
      <c r="Q342" s="7" t="s">
        <v>66</v>
      </c>
      <c r="R342" s="6" t="s">
        <v>41</v>
      </c>
      <c r="S342" s="94"/>
      <c r="T342" s="94"/>
      <c r="U342" s="94"/>
      <c r="V342" s="94"/>
      <c r="W342" s="94"/>
      <c r="X342" s="94"/>
      <c r="Y342" s="94"/>
      <c r="Z342" s="94"/>
      <c r="AA342" s="94"/>
    </row>
    <row r="343" spans="1:27" ht="18" customHeight="1">
      <c r="A343" s="4" t="s">
        <v>773</v>
      </c>
      <c r="B343" s="4" t="s">
        <v>774</v>
      </c>
      <c r="C343" s="4">
        <v>37</v>
      </c>
      <c r="D343" s="4" t="s">
        <v>52</v>
      </c>
      <c r="E343" s="14" t="s">
        <v>76</v>
      </c>
      <c r="F343" s="4" t="s">
        <v>154</v>
      </c>
      <c r="G343" s="4" t="s">
        <v>775</v>
      </c>
      <c r="H343" s="4" t="s">
        <v>55</v>
      </c>
      <c r="I343" s="4">
        <v>50966</v>
      </c>
      <c r="J343" s="4">
        <v>20263</v>
      </c>
      <c r="K343" s="4">
        <v>12686</v>
      </c>
      <c r="L343" s="4">
        <v>4680</v>
      </c>
      <c r="M343" s="4">
        <v>2606</v>
      </c>
      <c r="N343" s="4">
        <v>85989</v>
      </c>
      <c r="O343" s="4">
        <v>23</v>
      </c>
      <c r="P343" s="4">
        <v>79</v>
      </c>
      <c r="Q343" s="4" t="s">
        <v>60</v>
      </c>
      <c r="R343" s="6" t="s">
        <v>41</v>
      </c>
      <c r="S343" s="94"/>
      <c r="T343" s="94"/>
      <c r="U343" s="94"/>
      <c r="V343" s="94"/>
      <c r="W343" s="94"/>
      <c r="X343" s="94"/>
      <c r="Y343" s="94"/>
      <c r="Z343" s="94"/>
      <c r="AA343" s="94"/>
    </row>
    <row r="344" spans="1:27" ht="18" customHeight="1">
      <c r="A344" s="7" t="s">
        <v>776</v>
      </c>
      <c r="B344" s="7" t="s">
        <v>777</v>
      </c>
      <c r="C344" s="7">
        <v>41</v>
      </c>
      <c r="D344" s="7" t="s">
        <v>52</v>
      </c>
      <c r="E344" s="14" t="s">
        <v>76</v>
      </c>
      <c r="F344" s="7" t="s">
        <v>99</v>
      </c>
      <c r="G344" s="9">
        <v>42688</v>
      </c>
      <c r="H344" s="7" t="s">
        <v>196</v>
      </c>
      <c r="I344" s="7">
        <v>80514</v>
      </c>
      <c r="J344" s="7">
        <v>30036</v>
      </c>
      <c r="K344" s="7">
        <v>5120</v>
      </c>
      <c r="L344" s="7">
        <v>2627</v>
      </c>
      <c r="M344" s="7">
        <v>3822</v>
      </c>
      <c r="N344" s="7">
        <v>114475</v>
      </c>
      <c r="O344" s="7">
        <v>24</v>
      </c>
      <c r="P344" s="7">
        <v>81</v>
      </c>
      <c r="Q344" s="7" t="s">
        <v>66</v>
      </c>
      <c r="R344" s="6" t="s">
        <v>41</v>
      </c>
      <c r="S344" s="94"/>
      <c r="T344" s="94"/>
      <c r="U344" s="94"/>
      <c r="V344" s="94"/>
      <c r="W344" s="94"/>
      <c r="X344" s="94"/>
      <c r="Y344" s="94"/>
      <c r="Z344" s="94"/>
      <c r="AA344" s="94"/>
    </row>
    <row r="345" spans="1:27" ht="18" customHeight="1">
      <c r="A345" s="4" t="s">
        <v>778</v>
      </c>
      <c r="B345" s="4" t="s">
        <v>779</v>
      </c>
      <c r="C345" s="4">
        <v>29</v>
      </c>
      <c r="D345" s="4" t="s">
        <v>52</v>
      </c>
      <c r="E345" s="10" t="s">
        <v>58</v>
      </c>
      <c r="F345" s="4" t="s">
        <v>59</v>
      </c>
      <c r="G345" s="12">
        <v>44588</v>
      </c>
      <c r="H345" s="4" t="s">
        <v>47</v>
      </c>
      <c r="I345" s="4">
        <v>55603</v>
      </c>
      <c r="J345" s="4">
        <v>18902</v>
      </c>
      <c r="K345" s="4">
        <v>8124</v>
      </c>
      <c r="L345" s="4">
        <v>1277</v>
      </c>
      <c r="M345" s="4">
        <v>7207</v>
      </c>
      <c r="N345" s="4">
        <v>76699</v>
      </c>
      <c r="O345" s="4">
        <v>26</v>
      </c>
      <c r="P345" s="4">
        <v>94</v>
      </c>
      <c r="Q345" s="4" t="s">
        <v>73</v>
      </c>
      <c r="R345" s="6" t="s">
        <v>41</v>
      </c>
      <c r="S345" s="94"/>
      <c r="T345" s="94"/>
      <c r="U345" s="94"/>
      <c r="V345" s="94"/>
      <c r="W345" s="94"/>
      <c r="X345" s="94"/>
      <c r="Y345" s="94"/>
      <c r="Z345" s="94"/>
      <c r="AA345" s="94"/>
    </row>
    <row r="346" spans="1:27" ht="18" customHeight="1">
      <c r="A346" s="7" t="s">
        <v>780</v>
      </c>
      <c r="B346" s="7" t="s">
        <v>781</v>
      </c>
      <c r="C346" s="7">
        <v>35</v>
      </c>
      <c r="D346" s="7" t="s">
        <v>52</v>
      </c>
      <c r="E346" s="11" t="s">
        <v>53</v>
      </c>
      <c r="F346" s="7" t="s">
        <v>118</v>
      </c>
      <c r="G346" s="9">
        <v>44191</v>
      </c>
      <c r="H346" s="7" t="s">
        <v>90</v>
      </c>
      <c r="I346" s="7">
        <v>39585</v>
      </c>
      <c r="J346" s="7">
        <v>14291</v>
      </c>
      <c r="K346" s="7">
        <v>9719</v>
      </c>
      <c r="L346" s="7">
        <v>186</v>
      </c>
      <c r="M346" s="7">
        <v>3718</v>
      </c>
      <c r="N346" s="7">
        <v>60063</v>
      </c>
      <c r="O346" s="7">
        <v>18</v>
      </c>
      <c r="P346" s="7">
        <v>87</v>
      </c>
      <c r="Q346" s="7" t="s">
        <v>48</v>
      </c>
      <c r="R346" s="13" t="s">
        <v>67</v>
      </c>
      <c r="S346" s="94"/>
      <c r="T346" s="94"/>
      <c r="U346" s="94"/>
      <c r="V346" s="94"/>
      <c r="W346" s="94"/>
      <c r="X346" s="94"/>
      <c r="Y346" s="94"/>
      <c r="Z346" s="94"/>
      <c r="AA346" s="94"/>
    </row>
    <row r="347" spans="1:27" ht="18" customHeight="1">
      <c r="A347" s="4" t="s">
        <v>782</v>
      </c>
      <c r="B347" s="4" t="s">
        <v>783</v>
      </c>
      <c r="C347" s="4">
        <v>25</v>
      </c>
      <c r="D347" s="4" t="s">
        <v>44</v>
      </c>
      <c r="E347" s="5" t="s">
        <v>111</v>
      </c>
      <c r="F347" s="4" t="s">
        <v>128</v>
      </c>
      <c r="G347" s="12">
        <v>42204</v>
      </c>
      <c r="H347" s="4" t="s">
        <v>84</v>
      </c>
      <c r="I347" s="4">
        <v>111969</v>
      </c>
      <c r="J347" s="4">
        <v>45388</v>
      </c>
      <c r="K347" s="4">
        <v>6185</v>
      </c>
      <c r="L347" s="4">
        <v>1395</v>
      </c>
      <c r="M347" s="4">
        <v>1492</v>
      </c>
      <c r="N347" s="4">
        <v>163445</v>
      </c>
      <c r="O347" s="4">
        <v>19</v>
      </c>
      <c r="P347" s="4">
        <v>52</v>
      </c>
      <c r="Q347" s="4" t="s">
        <v>66</v>
      </c>
      <c r="R347" s="10" t="s">
        <v>49</v>
      </c>
      <c r="S347" s="94"/>
      <c r="T347" s="94"/>
      <c r="U347" s="94"/>
      <c r="V347" s="94"/>
      <c r="W347" s="94"/>
      <c r="X347" s="94"/>
      <c r="Y347" s="94"/>
      <c r="Z347" s="94"/>
      <c r="AA347" s="94"/>
    </row>
    <row r="348" spans="1:27" ht="18" customHeight="1">
      <c r="A348" s="7" t="s">
        <v>784</v>
      </c>
      <c r="B348" s="7" t="s">
        <v>785</v>
      </c>
      <c r="C348" s="7">
        <v>42</v>
      </c>
      <c r="D348" s="7" t="s">
        <v>52</v>
      </c>
      <c r="E348" s="14" t="s">
        <v>76</v>
      </c>
      <c r="F348" s="7" t="s">
        <v>226</v>
      </c>
      <c r="G348" s="9">
        <v>43862</v>
      </c>
      <c r="H348" s="7" t="s">
        <v>84</v>
      </c>
      <c r="I348" s="7">
        <v>63337</v>
      </c>
      <c r="J348" s="7">
        <v>29989</v>
      </c>
      <c r="K348" s="7">
        <v>12639</v>
      </c>
      <c r="L348" s="7">
        <v>3166</v>
      </c>
      <c r="M348" s="7">
        <v>2893</v>
      </c>
      <c r="N348" s="7">
        <v>106238</v>
      </c>
      <c r="O348" s="7">
        <v>21</v>
      </c>
      <c r="P348" s="7">
        <v>72</v>
      </c>
      <c r="Q348" s="7" t="s">
        <v>73</v>
      </c>
      <c r="R348" s="13" t="s">
        <v>67</v>
      </c>
      <c r="S348" s="94"/>
      <c r="T348" s="94"/>
      <c r="U348" s="94"/>
      <c r="V348" s="94"/>
      <c r="W348" s="94"/>
      <c r="X348" s="94"/>
      <c r="Y348" s="94"/>
      <c r="Z348" s="94"/>
      <c r="AA348" s="94"/>
    </row>
    <row r="349" spans="1:27" ht="18" customHeight="1">
      <c r="A349" s="4" t="s">
        <v>786</v>
      </c>
      <c r="B349" s="4" t="s">
        <v>787</v>
      </c>
      <c r="C349" s="4">
        <v>23</v>
      </c>
      <c r="D349" s="4" t="s">
        <v>52</v>
      </c>
      <c r="E349" s="13" t="s">
        <v>63</v>
      </c>
      <c r="F349" s="4" t="s">
        <v>115</v>
      </c>
      <c r="G349" s="12">
        <v>45261</v>
      </c>
      <c r="H349" s="4" t="s">
        <v>65</v>
      </c>
      <c r="I349" s="4">
        <v>30210</v>
      </c>
      <c r="J349" s="4">
        <v>10558</v>
      </c>
      <c r="K349" s="4">
        <v>10673</v>
      </c>
      <c r="L349" s="4">
        <v>2497</v>
      </c>
      <c r="M349" s="4">
        <v>3732</v>
      </c>
      <c r="N349" s="4">
        <v>50206</v>
      </c>
      <c r="O349" s="4">
        <v>22</v>
      </c>
      <c r="P349" s="4">
        <v>65</v>
      </c>
      <c r="Q349" s="4" t="s">
        <v>60</v>
      </c>
      <c r="R349" s="10" t="s">
        <v>49</v>
      </c>
      <c r="S349" s="94"/>
      <c r="T349" s="94"/>
      <c r="U349" s="94"/>
      <c r="V349" s="94"/>
      <c r="W349" s="94"/>
      <c r="X349" s="94"/>
      <c r="Y349" s="94"/>
      <c r="Z349" s="94"/>
      <c r="AA349" s="94"/>
    </row>
    <row r="350" spans="1:27" ht="18" customHeight="1">
      <c r="A350" s="7" t="s">
        <v>788</v>
      </c>
      <c r="B350" s="7" t="s">
        <v>789</v>
      </c>
      <c r="C350" s="7">
        <v>43</v>
      </c>
      <c r="D350" s="7" t="s">
        <v>52</v>
      </c>
      <c r="E350" s="13" t="s">
        <v>63</v>
      </c>
      <c r="F350" s="7" t="s">
        <v>102</v>
      </c>
      <c r="G350" s="9">
        <v>42317</v>
      </c>
      <c r="H350" s="7" t="s">
        <v>84</v>
      </c>
      <c r="I350" s="7">
        <v>75747</v>
      </c>
      <c r="J350" s="7">
        <v>36213</v>
      </c>
      <c r="K350" s="7">
        <v>2482</v>
      </c>
      <c r="L350" s="7">
        <v>7734</v>
      </c>
      <c r="M350" s="7">
        <v>5546</v>
      </c>
      <c r="N350" s="7">
        <v>116630</v>
      </c>
      <c r="O350" s="7">
        <v>19</v>
      </c>
      <c r="P350" s="7">
        <v>54</v>
      </c>
      <c r="Q350" s="7" t="s">
        <v>66</v>
      </c>
      <c r="R350" s="10" t="s">
        <v>49</v>
      </c>
      <c r="S350" s="94"/>
      <c r="T350" s="94"/>
      <c r="U350" s="94"/>
      <c r="V350" s="94"/>
      <c r="W350" s="94"/>
      <c r="X350" s="94"/>
      <c r="Y350" s="94"/>
      <c r="Z350" s="94"/>
      <c r="AA350" s="94"/>
    </row>
    <row r="351" spans="1:27" ht="18" customHeight="1">
      <c r="A351" s="4" t="s">
        <v>790</v>
      </c>
      <c r="B351" s="4" t="s">
        <v>791</v>
      </c>
      <c r="C351" s="4">
        <v>35</v>
      </c>
      <c r="D351" s="4" t="s">
        <v>52</v>
      </c>
      <c r="E351" s="10" t="s">
        <v>58</v>
      </c>
      <c r="F351" s="4" t="s">
        <v>59</v>
      </c>
      <c r="G351" s="12">
        <v>44305</v>
      </c>
      <c r="H351" s="4" t="s">
        <v>47</v>
      </c>
      <c r="I351" s="4">
        <v>45021</v>
      </c>
      <c r="J351" s="4">
        <v>17346</v>
      </c>
      <c r="K351" s="4">
        <v>7118</v>
      </c>
      <c r="L351" s="4">
        <v>7452</v>
      </c>
      <c r="M351" s="4">
        <v>5959</v>
      </c>
      <c r="N351" s="4">
        <v>70978</v>
      </c>
      <c r="O351" s="4">
        <v>20</v>
      </c>
      <c r="P351" s="4">
        <v>68</v>
      </c>
      <c r="Q351" s="4" t="s">
        <v>73</v>
      </c>
      <c r="R351" s="6" t="s">
        <v>41</v>
      </c>
      <c r="S351" s="94"/>
      <c r="T351" s="94"/>
      <c r="U351" s="94"/>
      <c r="V351" s="94"/>
      <c r="W351" s="94"/>
      <c r="X351" s="94"/>
      <c r="Y351" s="94"/>
      <c r="Z351" s="94"/>
      <c r="AA351" s="94"/>
    </row>
    <row r="352" spans="1:27" ht="18" customHeight="1">
      <c r="A352" s="7" t="s">
        <v>792</v>
      </c>
      <c r="B352" s="7" t="s">
        <v>367</v>
      </c>
      <c r="C352" s="7">
        <v>33</v>
      </c>
      <c r="D352" s="7" t="s">
        <v>52</v>
      </c>
      <c r="E352" s="13" t="s">
        <v>63</v>
      </c>
      <c r="F352" s="7" t="s">
        <v>102</v>
      </c>
      <c r="G352" s="9">
        <v>44999</v>
      </c>
      <c r="H352" s="7" t="s">
        <v>65</v>
      </c>
      <c r="I352" s="7">
        <v>44025</v>
      </c>
      <c r="J352" s="7">
        <v>18986</v>
      </c>
      <c r="K352" s="7">
        <v>11254</v>
      </c>
      <c r="L352" s="7">
        <v>7512</v>
      </c>
      <c r="M352" s="7">
        <v>2294</v>
      </c>
      <c r="N352" s="7">
        <v>79483</v>
      </c>
      <c r="O352" s="7">
        <v>20</v>
      </c>
      <c r="P352" s="7">
        <v>44</v>
      </c>
      <c r="Q352" s="7" t="s">
        <v>60</v>
      </c>
      <c r="R352" s="6" t="s">
        <v>41</v>
      </c>
      <c r="S352" s="94"/>
      <c r="T352" s="94"/>
      <c r="U352" s="94"/>
      <c r="V352" s="94"/>
      <c r="W352" s="94"/>
      <c r="X352" s="94"/>
      <c r="Y352" s="94"/>
      <c r="Z352" s="94"/>
      <c r="AA352" s="94"/>
    </row>
    <row r="354" spans="1:18" ht="19.5" customHeight="1">
      <c r="A354" s="42"/>
      <c r="B354" s="42"/>
      <c r="C354" s="42"/>
      <c r="D354" s="42"/>
      <c r="E354" s="42"/>
      <c r="F354" s="42"/>
      <c r="G354" s="42"/>
      <c r="H354" s="42"/>
      <c r="I354" s="42"/>
      <c r="J354" s="42"/>
      <c r="K354" s="42"/>
      <c r="L354" s="42"/>
      <c r="M354" s="42"/>
      <c r="N354" s="42"/>
      <c r="O354" s="42"/>
      <c r="P354" s="42"/>
      <c r="Q354" s="42"/>
      <c r="R354" s="42"/>
    </row>
  </sheetData>
  <mergeCells count="1">
    <mergeCell ref="A1:R1"/>
  </mergeCells>
  <hyperlinks>
    <hyperlink ref="A1:R1" location="'✅ Clean Data'!A1" display="📂  RAW DATA — Employee Performance &amp; Payroll (350 Records) — UNCLEAN SOURCE" xr:uid="{F533C264-959F-4909-B274-DA507C37AD3C}"/>
  </hyperlinks>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R354"/>
  <sheetViews>
    <sheetView showGridLines="0" zoomScale="71" zoomScaleNormal="100" workbookViewId="0">
      <pane ySplit="2" topLeftCell="A3" activePane="bottomLeft" state="frozen"/>
      <selection pane="bottomLeft" sqref="A1:R1"/>
    </sheetView>
  </sheetViews>
  <sheetFormatPr defaultColWidth="8.6640625" defaultRowHeight="14.4"/>
  <cols>
    <col min="1" max="1" width="12" customWidth="1"/>
    <col min="2" max="2" width="22" customWidth="1"/>
    <col min="3" max="3" width="7.21875" customWidth="1"/>
    <col min="4" max="4" width="14.21875" customWidth="1"/>
    <col min="5" max="5" width="16" customWidth="1"/>
    <col min="6" max="7" width="20" customWidth="1"/>
    <col min="8" max="8" width="12" customWidth="1"/>
    <col min="9" max="9" width="20.77734375" customWidth="1"/>
    <col min="10" max="10" width="17.88671875" customWidth="1"/>
    <col min="11" max="11" width="14" customWidth="1"/>
    <col min="12" max="12" width="16.33203125" customWidth="1"/>
    <col min="13" max="14" width="14" customWidth="1"/>
    <col min="15" max="17" width="18" customWidth="1"/>
    <col min="18" max="18" width="16" customWidth="1"/>
  </cols>
  <sheetData>
    <row r="1" spans="1:18" ht="30" customHeight="1">
      <c r="A1" s="187" t="s">
        <v>894</v>
      </c>
      <c r="B1" s="188"/>
      <c r="C1" s="188"/>
      <c r="D1" s="188"/>
      <c r="E1" s="188"/>
      <c r="F1" s="188"/>
      <c r="G1" s="188"/>
      <c r="H1" s="188"/>
      <c r="I1" s="188"/>
      <c r="J1" s="188"/>
      <c r="K1" s="188"/>
      <c r="L1" s="188"/>
      <c r="M1" s="188"/>
      <c r="N1" s="188"/>
      <c r="O1" s="188"/>
      <c r="P1" s="188"/>
      <c r="Q1" s="188"/>
      <c r="R1" s="189"/>
    </row>
    <row r="2" spans="1:18" ht="34.5" customHeight="1">
      <c r="A2" s="52" t="s">
        <v>15</v>
      </c>
      <c r="B2" s="15" t="s">
        <v>891</v>
      </c>
      <c r="C2" s="15" t="s">
        <v>17</v>
      </c>
      <c r="D2" s="15" t="s">
        <v>890</v>
      </c>
      <c r="E2" s="15" t="s">
        <v>889</v>
      </c>
      <c r="F2" s="15" t="s">
        <v>20</v>
      </c>
      <c r="G2" s="15" t="s">
        <v>892</v>
      </c>
      <c r="H2" s="15" t="s">
        <v>893</v>
      </c>
      <c r="I2" s="15" t="s">
        <v>23</v>
      </c>
      <c r="J2" s="15" t="s">
        <v>24</v>
      </c>
      <c r="K2" s="15" t="s">
        <v>25</v>
      </c>
      <c r="L2" s="15" t="s">
        <v>26</v>
      </c>
      <c r="M2" s="15" t="s">
        <v>27</v>
      </c>
      <c r="N2" s="15" t="s">
        <v>28</v>
      </c>
      <c r="O2" s="15" t="s">
        <v>896</v>
      </c>
      <c r="P2" s="15" t="s">
        <v>30</v>
      </c>
      <c r="Q2" s="15" t="s">
        <v>31</v>
      </c>
      <c r="R2" s="53" t="s">
        <v>32</v>
      </c>
    </row>
    <row r="3" spans="1:18" ht="18" customHeight="1">
      <c r="A3" s="54" t="str">
        <f>'📂 Raw Data'!A3</f>
        <v>EMP1001</v>
      </c>
      <c r="B3" s="16" t="str">
        <f>PROPER(TRIM('📂 Raw Data'!B3))</f>
        <v>Arun Shah</v>
      </c>
      <c r="C3" s="16">
        <f>'📂 Raw Data'!C3</f>
        <v>45</v>
      </c>
      <c r="D3" s="16" t="str">
        <f>IF(OR('📂 Raw Data'!D3="M",'📂 Raw Data'!D3="m"),"Male",IF(OR('📂 Raw Data'!D3="F",'📂 Raw Data'!D3="f"),"Female",PROPER('📂 Raw Data'!D3)))</f>
        <v>Female</v>
      </c>
      <c r="E3" s="17" t="str">
        <f>UPPER(TRIM('📂 Raw Data'!E3))</f>
        <v>FINANCE</v>
      </c>
      <c r="F3" s="16" t="str">
        <f>PROPER(TRIM('📂 Raw Data'!F3))</f>
        <v>Auditor</v>
      </c>
      <c r="G3" s="16" t="str">
        <f>IFERROR(IF(ISNUMBER('📂 Raw Data'!G3),TEXT('📂 Raw Data'!G3,"DD-MMM-YYYY"),TEXT(DATEVALUE('📂 Raw Data'!G3),"DD-MMM-YYYY")),"Invalid Date")</f>
        <v>05-Jan-2017</v>
      </c>
      <c r="H3" s="16" t="str">
        <f>PROPER(TRIM('📂 Raw Data'!H3))</f>
        <v>Delhi</v>
      </c>
      <c r="I3" s="18">
        <f>IFERROR(IF(ISNUMBER('📂 Raw Data'!I3),ABS('📂 Raw Data'!I3),0),0)</f>
        <v>0</v>
      </c>
      <c r="J3" s="18">
        <f>IFERROR(ABS('📂 Raw Data'!J3),0)</f>
        <v>25739</v>
      </c>
      <c r="K3" s="18">
        <f>IFERROR(ABS('📂 Raw Data'!K3),0)</f>
        <v>10830</v>
      </c>
      <c r="L3" s="18">
        <f>IFERROR(ABS('📂 Raw Data'!L3),0)</f>
        <v>2152</v>
      </c>
      <c r="M3" s="18">
        <f>IFERROR(ABS('📂 Raw Data'!M3),0)</f>
        <v>7119</v>
      </c>
      <c r="N3" s="18">
        <f>SUM(M3,L3,K3,J3,I3,)</f>
        <v>45840</v>
      </c>
      <c r="O3" s="16">
        <f>IFERROR(ABS('📂 Raw Data'!O3),0)</f>
        <v>24</v>
      </c>
      <c r="P3" s="16">
        <v>67</v>
      </c>
      <c r="Q3" s="19" t="str">
        <f>'📂 Raw Data'!Q3</f>
        <v>Excellent</v>
      </c>
      <c r="R3" s="55" t="str">
        <f>'📂 Raw Data'!R3</f>
        <v>Active</v>
      </c>
    </row>
    <row r="4" spans="1:18" ht="18" customHeight="1">
      <c r="A4" s="54" t="str">
        <f>'📂 Raw Data'!A4</f>
        <v>EMP1002</v>
      </c>
      <c r="B4" s="16" t="str">
        <f>PROPER(TRIM('📂 Raw Data'!B4))</f>
        <v>Dinesh Iyer</v>
      </c>
      <c r="C4" s="16">
        <f>'📂 Raw Data'!C4</f>
        <v>22</v>
      </c>
      <c r="D4" s="16" t="str">
        <f>IF(OR('📂 Raw Data'!D4="M",'📂 Raw Data'!D4="m"),"Male",IF(OR('📂 Raw Data'!D4="F",'📂 Raw Data'!D4="f"),"Female",PROPER('📂 Raw Data'!D4)))</f>
        <v>Female</v>
      </c>
      <c r="E4" s="17" t="str">
        <f>UPPER(TRIM('📂 Raw Data'!E4))</f>
        <v>ENGINEERING</v>
      </c>
      <c r="F4" s="16" t="str">
        <f>PROPER(TRIM('📂 Raw Data'!F4))</f>
        <v>Software Engineer</v>
      </c>
      <c r="G4" s="16" t="str">
        <f>IFERROR(IF(ISNUMBER('📂 Raw Data'!G4),TEXT('📂 Raw Data'!G4,"DD-MMM-YYYY"),TEXT(DATEVALUE('📂 Raw Data'!G4),"DD-MMM-YYYY")),"Invalid Date")</f>
        <v>06-Nov-2017</v>
      </c>
      <c r="H4" s="16" t="str">
        <f>PROPER(TRIM('📂 Raw Data'!H4))</f>
        <v>Pune</v>
      </c>
      <c r="I4" s="18">
        <f>IFERROR(IF(ISNUMBER('📂 Raw Data'!I4),ABS('📂 Raw Data'!I4),0),0)</f>
        <v>114192</v>
      </c>
      <c r="J4" s="18">
        <f>IFERROR(ABS('📂 Raw Data'!J4),0)</f>
        <v>43899</v>
      </c>
      <c r="K4" s="18">
        <f>IFERROR(ABS('📂 Raw Data'!K4),0)</f>
        <v>3040</v>
      </c>
      <c r="L4" s="18">
        <f>IFERROR(ABS('📂 Raw Data'!L4),0)</f>
        <v>3152</v>
      </c>
      <c r="M4" s="18">
        <f>IFERROR(ABS('📂 Raw Data'!M4),0)</f>
        <v>4126</v>
      </c>
      <c r="N4" s="18">
        <f t="shared" ref="N4:N67" si="0">SUM(M4,L4,K4,J4,I4,)</f>
        <v>168409</v>
      </c>
      <c r="O4" s="16">
        <f>IFERROR(ABS('📂 Raw Data'!O4),0)</f>
        <v>24</v>
      </c>
      <c r="P4" s="20">
        <v>69</v>
      </c>
      <c r="Q4" s="19" t="str">
        <f>'📂 Raw Data'!Q4</f>
        <v>Poor</v>
      </c>
      <c r="R4" s="55" t="str">
        <f>'📂 Raw Data'!R4</f>
        <v>On Leave</v>
      </c>
    </row>
    <row r="5" spans="1:18" ht="18" customHeight="1">
      <c r="A5" s="54" t="str">
        <f>'📂 Raw Data'!A5</f>
        <v>EMP1003</v>
      </c>
      <c r="B5" s="16" t="str">
        <f>PROPER(TRIM('📂 Raw Data'!B5))</f>
        <v>Arjun Vashistha</v>
      </c>
      <c r="C5" s="16">
        <f>'📂 Raw Data'!C5</f>
        <v>54</v>
      </c>
      <c r="D5" s="16" t="str">
        <f>IF(OR('📂 Raw Data'!D5="M",'📂 Raw Data'!D5="m"),"Male",IF(OR('📂 Raw Data'!D5="F",'📂 Raw Data'!D5="f"),"Female",PROPER('📂 Raw Data'!D5)))</f>
        <v>Male</v>
      </c>
      <c r="E5" s="17" t="str">
        <f>UPPER(TRIM('📂 Raw Data'!E5))</f>
        <v>HR</v>
      </c>
      <c r="F5" s="16" t="str">
        <f>PROPER(TRIM('📂 Raw Data'!F5))</f>
        <v>Recruiter</v>
      </c>
      <c r="G5" s="16" t="str">
        <f>IFERROR(IF(ISNUMBER('📂 Raw Data'!G5),TEXT('📂 Raw Data'!G5,"DD-MMM-YYYY"),TEXT(DATEVALUE('📂 Raw Data'!G5),"DD-MMM-YYYY")),"Invalid Date")</f>
        <v>14-May-2016</v>
      </c>
      <c r="H5" s="16" t="str">
        <f>PROPER(TRIM('📂 Raw Data'!H5))</f>
        <v>Mumbai</v>
      </c>
      <c r="I5" s="18">
        <f>IFERROR(IF(ISNUMBER('📂 Raw Data'!I5),ABS('📂 Raw Data'!I5),0),0)</f>
        <v>45730</v>
      </c>
      <c r="J5" s="18">
        <f>IFERROR(ABS('📂 Raw Data'!J5),0)</f>
        <v>17869</v>
      </c>
      <c r="K5" s="18">
        <f>IFERROR(ABS('📂 Raw Data'!K5),0)</f>
        <v>13830</v>
      </c>
      <c r="L5" s="18">
        <f>IFERROR(ABS('📂 Raw Data'!L5),0)</f>
        <v>7174</v>
      </c>
      <c r="M5" s="18">
        <f>IFERROR(ABS('📂 Raw Data'!M5),0)</f>
        <v>6895</v>
      </c>
      <c r="N5" s="18">
        <f t="shared" si="0"/>
        <v>91498</v>
      </c>
      <c r="O5" s="16">
        <f>IFERROR(ABS('📂 Raw Data'!O5),0)</f>
        <v>19</v>
      </c>
      <c r="P5" s="16">
        <v>72</v>
      </c>
      <c r="Q5" s="19" t="str">
        <f>'📂 Raw Data'!Q5</f>
        <v>Poor</v>
      </c>
      <c r="R5" s="55" t="str">
        <f>'📂 Raw Data'!R5</f>
        <v>On Leave</v>
      </c>
    </row>
    <row r="6" spans="1:18" ht="18" customHeight="1">
      <c r="A6" s="54" t="str">
        <f>'📂 Raw Data'!A6</f>
        <v>EMP1004</v>
      </c>
      <c r="B6" s="16" t="str">
        <f>PROPER(TRIM('📂 Raw Data'!B6))</f>
        <v>Tarun Rastogi</v>
      </c>
      <c r="C6" s="16">
        <f>'📂 Raw Data'!C6</f>
        <v>53</v>
      </c>
      <c r="D6" s="16" t="str">
        <f>IF(OR('📂 Raw Data'!D6="M",'📂 Raw Data'!D6="m"),"Male",IF(OR('📂 Raw Data'!D6="F",'📂 Raw Data'!D6="f"),"Female",PROPER('📂 Raw Data'!D6)))</f>
        <v>Female</v>
      </c>
      <c r="E6" s="17" t="str">
        <f>UPPER(TRIM('📂 Raw Data'!E6))</f>
        <v>MARKETING</v>
      </c>
      <c r="F6" s="16" t="str">
        <f>PROPER(TRIM('📂 Raw Data'!F6))</f>
        <v>Content Writer</v>
      </c>
      <c r="G6" s="16" t="str">
        <f>IFERROR(IF(ISNUMBER('📂 Raw Data'!G6),TEXT('📂 Raw Data'!G6,"DD-MMM-YYYY"),TEXT(DATEVALUE('📂 Raw Data'!G6),"DD-MMM-YYYY")),"Invalid Date")</f>
        <v>25-Jun-2017</v>
      </c>
      <c r="H6" s="16" t="str">
        <f>PROPER(TRIM('📂 Raw Data'!H6))</f>
        <v>Mumbai</v>
      </c>
      <c r="I6" s="18">
        <f>IFERROR(IF(ISNUMBER('📂 Raw Data'!I6),ABS('📂 Raw Data'!I6),0),0)</f>
        <v>46174</v>
      </c>
      <c r="J6" s="18">
        <f>IFERROR(ABS('📂 Raw Data'!J6),0)</f>
        <v>18833</v>
      </c>
      <c r="K6" s="18">
        <f>IFERROR(ABS('📂 Raw Data'!K6),0)</f>
        <v>14757</v>
      </c>
      <c r="L6" s="18">
        <f>IFERROR(ABS('📂 Raw Data'!L6),0)</f>
        <v>7556</v>
      </c>
      <c r="M6" s="18">
        <f>IFERROR(ABS('📂 Raw Data'!M6),0)</f>
        <v>5344</v>
      </c>
      <c r="N6" s="18">
        <f t="shared" si="0"/>
        <v>92664</v>
      </c>
      <c r="O6" s="16">
        <f>IFERROR(ABS('📂 Raw Data'!O6),0)</f>
        <v>15</v>
      </c>
      <c r="P6" s="20">
        <v>78</v>
      </c>
      <c r="Q6" s="19" t="str">
        <f>'📂 Raw Data'!Q6</f>
        <v>Average</v>
      </c>
      <c r="R6" s="55" t="str">
        <f>'📂 Raw Data'!R6</f>
        <v>Active</v>
      </c>
    </row>
    <row r="7" spans="1:18" ht="18" customHeight="1">
      <c r="A7" s="54" t="str">
        <f>'📂 Raw Data'!A7</f>
        <v>EMP1005</v>
      </c>
      <c r="B7" s="16" t="str">
        <f>PROPER(TRIM('📂 Raw Data'!B7))</f>
        <v>Priya Bhatia</v>
      </c>
      <c r="C7" s="16">
        <f>'📂 Raw Data'!C7</f>
        <v>32</v>
      </c>
      <c r="D7" s="16" t="str">
        <f>IF(OR('📂 Raw Data'!D7="M",'📂 Raw Data'!D7="m"),"Male",IF(OR('📂 Raw Data'!D7="F",'📂 Raw Data'!D7="f"),"Female",PROPER('📂 Raw Data'!D7)))</f>
        <v>Female</v>
      </c>
      <c r="E7" s="17" t="str">
        <f>UPPER(TRIM('📂 Raw Data'!E7))</f>
        <v>SALES</v>
      </c>
      <c r="F7" s="16" t="str">
        <f>PROPER(TRIM('📂 Raw Data'!F7))</f>
        <v>Sales Executive</v>
      </c>
      <c r="G7" s="16" t="str">
        <f>IFERROR(IF(ISNUMBER('📂 Raw Data'!G7),TEXT('📂 Raw Data'!G7,"DD-MMM-YYYY"),TEXT(DATEVALUE('📂 Raw Data'!G7),"DD-MMM-YYYY")),"Invalid Date")</f>
        <v>03-Oct-2018</v>
      </c>
      <c r="H7" s="16" t="str">
        <f>PROPER(TRIM('📂 Raw Data'!H7))</f>
        <v>Bangalore</v>
      </c>
      <c r="I7" s="18">
        <f>IFERROR(IF(ISNUMBER('📂 Raw Data'!I7),ABS('📂 Raw Data'!I7),0),0)</f>
        <v>36226</v>
      </c>
      <c r="J7" s="18">
        <f>IFERROR(ABS('📂 Raw Data'!J7),0)</f>
        <v>16171</v>
      </c>
      <c r="K7" s="18">
        <f>IFERROR(ABS('📂 Raw Data'!K7),0)</f>
        <v>3133</v>
      </c>
      <c r="L7" s="18">
        <f>IFERROR(ABS('📂 Raw Data'!L7),0)</f>
        <v>6230</v>
      </c>
      <c r="M7" s="18">
        <f>IFERROR(ABS('📂 Raw Data'!M7),0)</f>
        <v>5363</v>
      </c>
      <c r="N7" s="18">
        <f t="shared" si="0"/>
        <v>67123</v>
      </c>
      <c r="O7" s="16">
        <f>IFERROR(ABS('📂 Raw Data'!O7),0)</f>
        <v>17</v>
      </c>
      <c r="P7" s="16">
        <v>48</v>
      </c>
      <c r="Q7" s="19" t="str">
        <f>'📂 Raw Data'!Q7</f>
        <v>Below Average</v>
      </c>
      <c r="R7" s="55" t="str">
        <f>'📂 Raw Data'!R7</f>
        <v>Resigned</v>
      </c>
    </row>
    <row r="8" spans="1:18" ht="18" customHeight="1">
      <c r="A8" s="54" t="str">
        <f>'📂 Raw Data'!A8</f>
        <v>EMP1006</v>
      </c>
      <c r="B8" s="16" t="str">
        <f>PROPER(TRIM('📂 Raw Data'!B8))</f>
        <v>Hina Mathur</v>
      </c>
      <c r="C8" s="16">
        <f>'📂 Raw Data'!C8</f>
        <v>43</v>
      </c>
      <c r="D8" s="16" t="str">
        <f>IF(OR('📂 Raw Data'!D8="M",'📂 Raw Data'!D8="m"),"Male",IF(OR('📂 Raw Data'!D8="F",'📂 Raw Data'!D8="f"),"Female",PROPER('📂 Raw Data'!D8)))</f>
        <v>Male</v>
      </c>
      <c r="E8" s="17" t="str">
        <f>UPPER(TRIM('📂 Raw Data'!E8))</f>
        <v>SALES</v>
      </c>
      <c r="F8" s="16" t="str">
        <f>PROPER(TRIM('📂 Raw Data'!F8))</f>
        <v>Senior Sales</v>
      </c>
      <c r="G8" s="16" t="str">
        <f>IFERROR(IF(ISNUMBER('📂 Raw Data'!G8),TEXT('📂 Raw Data'!G8,"DD-MMM-YYYY"),TEXT(DATEVALUE('📂 Raw Data'!G8),"DD-MMM-YYYY")),"Invalid Date")</f>
        <v>22-Jul-2019</v>
      </c>
      <c r="H8" s="16" t="str">
        <f>PROPER(TRIM('📂 Raw Data'!H8))</f>
        <v>Mumbai</v>
      </c>
      <c r="I8" s="18">
        <f>IFERROR(IF(ISNUMBER('📂 Raw Data'!I8),ABS('📂 Raw Data'!I8),0),0)</f>
        <v>110180</v>
      </c>
      <c r="J8" s="18">
        <f>IFERROR(ABS('📂 Raw Data'!J8),0)</f>
        <v>41283</v>
      </c>
      <c r="K8" s="18">
        <f>IFERROR(ABS('📂 Raw Data'!K8),0)</f>
        <v>10479</v>
      </c>
      <c r="L8" s="18">
        <f>IFERROR(ABS('📂 Raw Data'!L8),0)</f>
        <v>3698</v>
      </c>
      <c r="M8" s="18">
        <f>IFERROR(ABS('📂 Raw Data'!M8),0)</f>
        <v>1991</v>
      </c>
      <c r="N8" s="18">
        <f t="shared" si="0"/>
        <v>167631</v>
      </c>
      <c r="O8" s="16">
        <f>IFERROR(ABS('📂 Raw Data'!O8),0)</f>
        <v>18</v>
      </c>
      <c r="P8" s="20">
        <v>54</v>
      </c>
      <c r="Q8" s="19" t="str">
        <f>'📂 Raw Data'!Q8</f>
        <v>Poor</v>
      </c>
      <c r="R8" s="55" t="str">
        <f>'📂 Raw Data'!R8</f>
        <v>Resigned</v>
      </c>
    </row>
    <row r="9" spans="1:18" ht="18" customHeight="1">
      <c r="A9" s="54" t="str">
        <f>'📂 Raw Data'!A9</f>
        <v>EMP1007</v>
      </c>
      <c r="B9" s="16" t="str">
        <f>PROPER(TRIM('📂 Raw Data'!B9))</f>
        <v>Tejal Reddy</v>
      </c>
      <c r="C9" s="16">
        <f>'📂 Raw Data'!C9</f>
        <v>39</v>
      </c>
      <c r="D9" s="16" t="str">
        <f>IF(OR('📂 Raw Data'!D9="M",'📂 Raw Data'!D9="m"),"Male",IF(OR('📂 Raw Data'!D9="F",'📂 Raw Data'!D9="f"),"Female",PROPER('📂 Raw Data'!D9)))</f>
        <v>Male</v>
      </c>
      <c r="E9" s="17" t="str">
        <f>UPPER(TRIM('📂 Raw Data'!E9))</f>
        <v>SALES</v>
      </c>
      <c r="F9" s="16" t="str">
        <f>PROPER(TRIM('📂 Raw Data'!F9))</f>
        <v>Sales Executive</v>
      </c>
      <c r="G9" s="16" t="str">
        <f>IFERROR(IF(ISNUMBER('📂 Raw Data'!G9),TEXT('📂 Raw Data'!G9,"DD-MMM-YYYY"),TEXT(DATEVALUE('📂 Raw Data'!G9),"DD-MMM-YYYY")),"Invalid Date")</f>
        <v>21-Dec-2016</v>
      </c>
      <c r="H9" s="16" t="str">
        <f>PROPER(TRIM('📂 Raw Data'!H9))</f>
        <v>Pune</v>
      </c>
      <c r="I9" s="18">
        <f>IFERROR(IF(ISNUMBER('📂 Raw Data'!I9),ABS('📂 Raw Data'!I9),0),0)</f>
        <v>32716</v>
      </c>
      <c r="J9" s="18">
        <f>IFERROR(ABS('📂 Raw Data'!J9),0)</f>
        <v>11313</v>
      </c>
      <c r="K9" s="18">
        <f>IFERROR(ABS('📂 Raw Data'!K9),0)</f>
        <v>2514</v>
      </c>
      <c r="L9" s="18">
        <f>IFERROR(ABS('📂 Raw Data'!L9),0)</f>
        <v>7042</v>
      </c>
      <c r="M9" s="18">
        <f>IFERROR(ABS('📂 Raw Data'!M9),0)</f>
        <v>3706</v>
      </c>
      <c r="N9" s="18">
        <f t="shared" si="0"/>
        <v>57291</v>
      </c>
      <c r="O9" s="16">
        <f>IFERROR(ABS('📂 Raw Data'!O9),0)</f>
        <v>16</v>
      </c>
      <c r="P9" s="16">
        <v>72</v>
      </c>
      <c r="Q9" s="19" t="str">
        <f>'📂 Raw Data'!Q9</f>
        <v>Good</v>
      </c>
      <c r="R9" s="55" t="str">
        <f>'📂 Raw Data'!R9</f>
        <v>Active</v>
      </c>
    </row>
    <row r="10" spans="1:18" ht="18" customHeight="1">
      <c r="A10" s="54" t="str">
        <f>'📂 Raw Data'!A10</f>
        <v>EMP1008</v>
      </c>
      <c r="B10" s="16" t="str">
        <f>PROPER(TRIM('📂 Raw Data'!B10))</f>
        <v>Isha Iyer</v>
      </c>
      <c r="C10" s="16">
        <f>'📂 Raw Data'!C10</f>
        <v>51</v>
      </c>
      <c r="D10" s="16" t="str">
        <f>IF(OR('📂 Raw Data'!D10="M",'📂 Raw Data'!D10="m"),"Male",IF(OR('📂 Raw Data'!D10="F",'📂 Raw Data'!D10="f"),"Female",PROPER('📂 Raw Data'!D10)))</f>
        <v>Female</v>
      </c>
      <c r="E10" s="17" t="str">
        <f>UPPER(TRIM('📂 Raw Data'!E10))</f>
        <v>OPERATIONS</v>
      </c>
      <c r="F10" s="16" t="str">
        <f>PROPER(TRIM('📂 Raw Data'!F10))</f>
        <v>Coordinator</v>
      </c>
      <c r="G10" s="16" t="str">
        <f>IFERROR(IF(ISNUMBER('📂 Raw Data'!G10),TEXT('📂 Raw Data'!G10,"DD-MMM-YYYY"),TEXT(DATEVALUE('📂 Raw Data'!G10),"DD-MMM-YYYY")),"Invalid Date")</f>
        <v>26-Aug-2018</v>
      </c>
      <c r="H10" s="16" t="str">
        <f>PROPER(TRIM('📂 Raw Data'!H10))</f>
        <v>Kolkata</v>
      </c>
      <c r="I10" s="18">
        <f>IFERROR(IF(ISNUMBER('📂 Raw Data'!I10),ABS('📂 Raw Data'!I10),0),0)</f>
        <v>78354</v>
      </c>
      <c r="J10" s="18">
        <f>IFERROR(ABS('📂 Raw Data'!J10),0)</f>
        <v>26490</v>
      </c>
      <c r="K10" s="18">
        <f>IFERROR(ABS('📂 Raw Data'!K10),0)</f>
        <v>3588</v>
      </c>
      <c r="L10" s="18">
        <f>IFERROR(ABS('📂 Raw Data'!L10),0)</f>
        <v>5398</v>
      </c>
      <c r="M10" s="18">
        <f>IFERROR(ABS('📂 Raw Data'!M10),0)</f>
        <v>4531</v>
      </c>
      <c r="N10" s="18">
        <f t="shared" si="0"/>
        <v>118361</v>
      </c>
      <c r="O10" s="16">
        <f>IFERROR(ABS('📂 Raw Data'!O10),0)</f>
        <v>20</v>
      </c>
      <c r="P10" s="20">
        <v>67</v>
      </c>
      <c r="Q10" s="19" t="str">
        <f>'📂 Raw Data'!Q10</f>
        <v>Excellent</v>
      </c>
      <c r="R10" s="55" t="str">
        <f>'📂 Raw Data'!R10</f>
        <v>On Leave</v>
      </c>
    </row>
    <row r="11" spans="1:18" ht="18" customHeight="1">
      <c r="A11" s="54" t="str">
        <f>'📂 Raw Data'!A11</f>
        <v>EMP1009</v>
      </c>
      <c r="B11" s="16" t="str">
        <f>PROPER(TRIM('📂 Raw Data'!B11))</f>
        <v>Xena Rastogi</v>
      </c>
      <c r="C11" s="16">
        <f>'📂 Raw Data'!C11</f>
        <v>37</v>
      </c>
      <c r="D11" s="16" t="str">
        <f>IF(OR('📂 Raw Data'!D11="M",'📂 Raw Data'!D11="m"),"Male",IF(OR('📂 Raw Data'!D11="F",'📂 Raw Data'!D11="f"),"Female",PROPER('📂 Raw Data'!D11)))</f>
        <v>Female</v>
      </c>
      <c r="E11" s="17" t="str">
        <f>UPPER(TRIM('📂 Raw Data'!E11))</f>
        <v>ENGINEERING</v>
      </c>
      <c r="F11" s="16" t="str">
        <f>PROPER(TRIM('📂 Raw Data'!F11))</f>
        <v>Qa Engineer</v>
      </c>
      <c r="G11" s="16" t="str">
        <f>IFERROR(IF(ISNUMBER('📂 Raw Data'!G11),TEXT('📂 Raw Data'!G11,"DD-MMM-YYYY"),TEXT(DATEVALUE('📂 Raw Data'!G11),"DD-MMM-YYYY")),"Invalid Date")</f>
        <v>08-Feb-2020</v>
      </c>
      <c r="H11" s="16" t="str">
        <f>PROPER(TRIM('📂 Raw Data'!H11))</f>
        <v>Kolkata</v>
      </c>
      <c r="I11" s="18">
        <f>IFERROR(IF(ISNUMBER('📂 Raw Data'!I11),ABS('📂 Raw Data'!I11),0),0)</f>
        <v>50112</v>
      </c>
      <c r="J11" s="18">
        <f>IFERROR(ABS('📂 Raw Data'!J11),0)</f>
        <v>16940</v>
      </c>
      <c r="K11" s="18">
        <f>IFERROR(ABS('📂 Raw Data'!K11),0)</f>
        <v>9350</v>
      </c>
      <c r="L11" s="18">
        <f>IFERROR(ABS('📂 Raw Data'!L11),0)</f>
        <v>1148</v>
      </c>
      <c r="M11" s="18">
        <f>IFERROR(ABS('📂 Raw Data'!M11),0)</f>
        <v>4456</v>
      </c>
      <c r="N11" s="18">
        <f t="shared" si="0"/>
        <v>82006</v>
      </c>
      <c r="O11" s="16">
        <f>IFERROR(ABS('📂 Raw Data'!O11),0)</f>
        <v>17</v>
      </c>
      <c r="P11" s="16">
        <v>57</v>
      </c>
      <c r="Q11" s="19" t="str">
        <f>'📂 Raw Data'!Q11</f>
        <v>Poor</v>
      </c>
      <c r="R11" s="55" t="str">
        <f>'📂 Raw Data'!R11</f>
        <v>Active</v>
      </c>
    </row>
    <row r="12" spans="1:18" ht="18" customHeight="1">
      <c r="A12" s="54" t="str">
        <f>'📂 Raw Data'!A12</f>
        <v>EMP1010</v>
      </c>
      <c r="B12" s="16" t="str">
        <f>PROPER(TRIM('📂 Raw Data'!B12))</f>
        <v>Naina Bahl</v>
      </c>
      <c r="C12" s="16">
        <f>'📂 Raw Data'!C12</f>
        <v>32</v>
      </c>
      <c r="D12" s="16" t="str">
        <f>IF(OR('📂 Raw Data'!D12="M",'📂 Raw Data'!D12="m"),"Male",IF(OR('📂 Raw Data'!D12="F",'📂 Raw Data'!D12="f"),"Female",PROPER('📂 Raw Data'!D12)))</f>
        <v>Male</v>
      </c>
      <c r="E12" s="17" t="str">
        <f>UPPER(TRIM('📂 Raw Data'!E12))</f>
        <v>ENGINEERING</v>
      </c>
      <c r="F12" s="16" t="str">
        <f>PROPER(TRIM('📂 Raw Data'!F12))</f>
        <v>Software Engineer</v>
      </c>
      <c r="G12" s="16" t="str">
        <f>IFERROR(IF(ISNUMBER('📂 Raw Data'!G12),TEXT('📂 Raw Data'!G12,"DD-MMM-YYYY"),TEXT(DATEVALUE('📂 Raw Data'!G12),"DD-MMM-YYYY")),"Invalid Date")</f>
        <v>03-Jan-2023</v>
      </c>
      <c r="H12" s="16" t="str">
        <f>PROPER(TRIM('📂 Raw Data'!H12))</f>
        <v>Chennai</v>
      </c>
      <c r="I12" s="18">
        <f>IFERROR(IF(ISNUMBER('📂 Raw Data'!I12),ABS('📂 Raw Data'!I12),0),0)</f>
        <v>55982</v>
      </c>
      <c r="J12" s="18">
        <f>IFERROR(ABS('📂 Raw Data'!J12),0)</f>
        <v>18657</v>
      </c>
      <c r="K12" s="18">
        <f>IFERROR(ABS('📂 Raw Data'!K12),0)</f>
        <v>9956</v>
      </c>
      <c r="L12" s="18">
        <f>IFERROR(ABS('📂 Raw Data'!L12),0)</f>
        <v>3943</v>
      </c>
      <c r="M12" s="18">
        <f>IFERROR(ABS('📂 Raw Data'!M12),0)</f>
        <v>2751</v>
      </c>
      <c r="N12" s="18">
        <f t="shared" si="0"/>
        <v>91289</v>
      </c>
      <c r="O12" s="16">
        <f>IFERROR(ABS('📂 Raw Data'!O12),0)</f>
        <v>21</v>
      </c>
      <c r="P12" s="20">
        <v>97</v>
      </c>
      <c r="Q12" s="19" t="str">
        <f>'📂 Raw Data'!Q12</f>
        <v>Below Average</v>
      </c>
      <c r="R12" s="55" t="str">
        <f>'📂 Raw Data'!R12</f>
        <v>Active</v>
      </c>
    </row>
    <row r="13" spans="1:18" ht="18" customHeight="1">
      <c r="A13" s="54" t="str">
        <f>'📂 Raw Data'!A13</f>
        <v>EMP1011</v>
      </c>
      <c r="B13" s="16" t="str">
        <f>PROPER(TRIM('📂 Raw Data'!B13))</f>
        <v>Kavita Tiwari</v>
      </c>
      <c r="C13" s="16">
        <f>'📂 Raw Data'!C13</f>
        <v>42</v>
      </c>
      <c r="D13" s="16" t="str">
        <f>IF(OR('📂 Raw Data'!D13="M",'📂 Raw Data'!D13="m"),"Male",IF(OR('📂 Raw Data'!D13="F",'📂 Raw Data'!D13="f"),"Female",PROPER('📂 Raw Data'!D13)))</f>
        <v>Male</v>
      </c>
      <c r="E13" s="17" t="str">
        <f>UPPER(TRIM('📂 Raw Data'!E13))</f>
        <v>HR</v>
      </c>
      <c r="F13" s="16" t="str">
        <f>PROPER(TRIM('📂 Raw Data'!F13))</f>
        <v>Training Coordinator</v>
      </c>
      <c r="G13" s="16" t="str">
        <f>IFERROR(IF(ISNUMBER('📂 Raw Data'!G13),TEXT('📂 Raw Data'!G13,"DD-MMM-YYYY"),TEXT(DATEVALUE('📂 Raw Data'!G13),"DD-MMM-YYYY")),"Invalid Date")</f>
        <v>23-Nov-2023</v>
      </c>
      <c r="H13" s="16" t="str">
        <f>PROPER(TRIM('📂 Raw Data'!H13))</f>
        <v>Mumbai</v>
      </c>
      <c r="I13" s="18">
        <f>IFERROR(IF(ISNUMBER('📂 Raw Data'!I13),ABS('📂 Raw Data'!I13),0),0)</f>
        <v>88788</v>
      </c>
      <c r="J13" s="18">
        <f>IFERROR(ABS('📂 Raw Data'!J13),0)</f>
        <v>29385</v>
      </c>
      <c r="K13" s="18">
        <f>IFERROR(ABS('📂 Raw Data'!K13),0)</f>
        <v>6861</v>
      </c>
      <c r="L13" s="18">
        <f>IFERROR(ABS('📂 Raw Data'!L13),0)</f>
        <v>1783</v>
      </c>
      <c r="M13" s="18">
        <f>IFERROR(ABS('📂 Raw Data'!M13),0)</f>
        <v>1479</v>
      </c>
      <c r="N13" s="18">
        <f t="shared" si="0"/>
        <v>128296</v>
      </c>
      <c r="O13" s="16">
        <f>IFERROR(ABS('📂 Raw Data'!O13),0)</f>
        <v>24</v>
      </c>
      <c r="P13" s="16">
        <v>87</v>
      </c>
      <c r="Q13" s="19" t="str">
        <f>'📂 Raw Data'!Q13</f>
        <v>Poor</v>
      </c>
      <c r="R13" s="55" t="str">
        <f>'📂 Raw Data'!R13</f>
        <v>Active</v>
      </c>
    </row>
    <row r="14" spans="1:18" ht="18" customHeight="1">
      <c r="A14" s="54" t="str">
        <f>'📂 Raw Data'!A14</f>
        <v>EMP1012</v>
      </c>
      <c r="B14" s="16" t="str">
        <f>PROPER(TRIM('📂 Raw Data'!B14))</f>
        <v>Aarav Chauhan</v>
      </c>
      <c r="C14" s="16">
        <f>'📂 Raw Data'!C14</f>
        <v>24</v>
      </c>
      <c r="D14" s="16" t="str">
        <f>IF(OR('📂 Raw Data'!D14="M",'📂 Raw Data'!D14="m"),"Male",IF(OR('📂 Raw Data'!D14="F",'📂 Raw Data'!D14="f"),"Female",PROPER('📂 Raw Data'!D14)))</f>
        <v>Male</v>
      </c>
      <c r="E14" s="17" t="str">
        <f>UPPER(TRIM('📂 Raw Data'!E14))</f>
        <v>MARKETING</v>
      </c>
      <c r="F14" s="16" t="str">
        <f>PROPER(TRIM('📂 Raw Data'!F14))</f>
        <v>Content Writer</v>
      </c>
      <c r="G14" s="16" t="str">
        <f>IFERROR(IF(ISNUMBER('📂 Raw Data'!G14),TEXT('📂 Raw Data'!G14,"DD-MMM-YYYY"),TEXT(DATEVALUE('📂 Raw Data'!G14),"DD-MMM-YYYY")),"Invalid Date")</f>
        <v>03-Sep-2015</v>
      </c>
      <c r="H14" s="16" t="str">
        <f>PROPER(TRIM('📂 Raw Data'!H14))</f>
        <v>Hyderabad</v>
      </c>
      <c r="I14" s="18">
        <f>IFERROR(IF(ISNUMBER('📂 Raw Data'!I14),ABS('📂 Raw Data'!I14),0),0)</f>
        <v>49356</v>
      </c>
      <c r="J14" s="18">
        <f>IFERROR(ABS('📂 Raw Data'!J14),0)</f>
        <v>15483</v>
      </c>
      <c r="K14" s="18">
        <f>IFERROR(ABS('📂 Raw Data'!K14),0)</f>
        <v>3113</v>
      </c>
      <c r="L14" s="18">
        <f>IFERROR(ABS('📂 Raw Data'!L14),0)</f>
        <v>5531</v>
      </c>
      <c r="M14" s="18">
        <f>IFERROR(ABS('📂 Raw Data'!M14),0)</f>
        <v>2926</v>
      </c>
      <c r="N14" s="18">
        <f t="shared" si="0"/>
        <v>76409</v>
      </c>
      <c r="O14" s="16">
        <f>IFERROR(ABS('📂 Raw Data'!O14),0)</f>
        <v>21</v>
      </c>
      <c r="P14" s="20">
        <v>47</v>
      </c>
      <c r="Q14" s="19" t="str">
        <f>'📂 Raw Data'!Q14</f>
        <v>Poor</v>
      </c>
      <c r="R14" s="55" t="str">
        <f>'📂 Raw Data'!R14</f>
        <v>Active</v>
      </c>
    </row>
    <row r="15" spans="1:18" ht="18" customHeight="1">
      <c r="A15" s="54" t="str">
        <f>'📂 Raw Data'!A15</f>
        <v>EMP1013</v>
      </c>
      <c r="B15" s="16" t="str">
        <f>PROPER(TRIM('📂 Raw Data'!B15))</f>
        <v>Esha Nair</v>
      </c>
      <c r="C15" s="16">
        <f>'📂 Raw Data'!C15</f>
        <v>51</v>
      </c>
      <c r="D15" s="16" t="str">
        <f>IF(OR('📂 Raw Data'!D15="M",'📂 Raw Data'!D15="m"),"Male",IF(OR('📂 Raw Data'!D15="F",'📂 Raw Data'!D15="f"),"Female",PROPER('📂 Raw Data'!D15)))</f>
        <v>Female</v>
      </c>
      <c r="E15" s="17" t="str">
        <f>UPPER(TRIM('📂 Raw Data'!E15))</f>
        <v>MARKETING</v>
      </c>
      <c r="F15" s="16" t="str">
        <f>PROPER(TRIM('📂 Raw Data'!F15))</f>
        <v>Seo Specialist</v>
      </c>
      <c r="G15" s="16" t="str">
        <f>IFERROR(IF(ISNUMBER('📂 Raw Data'!G15),TEXT('📂 Raw Data'!G15,"DD-MMM-YYYY"),TEXT(DATEVALUE('📂 Raw Data'!G15),"DD-MMM-YYYY")),"Invalid Date")</f>
        <v>22-Apr-2019</v>
      </c>
      <c r="H15" s="16" t="str">
        <f>PROPER(TRIM('📂 Raw Data'!H15))</f>
        <v>Bangalore</v>
      </c>
      <c r="I15" s="18">
        <f>IFERROR(IF(ISNUMBER('📂 Raw Data'!I15),ABS('📂 Raw Data'!I15),0),0)</f>
        <v>118872</v>
      </c>
      <c r="J15" s="18">
        <f>IFERROR(ABS('📂 Raw Data'!J15),0)</f>
        <v>43131</v>
      </c>
      <c r="K15" s="18">
        <f>IFERROR(ABS('📂 Raw Data'!K15),0)</f>
        <v>6351</v>
      </c>
      <c r="L15" s="18">
        <f>IFERROR(ABS('📂 Raw Data'!L15),0)</f>
        <v>3242</v>
      </c>
      <c r="M15" s="18">
        <f>IFERROR(ABS('📂 Raw Data'!M15),0)</f>
        <v>2072</v>
      </c>
      <c r="N15" s="18">
        <f t="shared" si="0"/>
        <v>173668</v>
      </c>
      <c r="O15" s="16">
        <f>IFERROR(ABS('📂 Raw Data'!O15),0)</f>
        <v>25</v>
      </c>
      <c r="P15" s="16">
        <v>81</v>
      </c>
      <c r="Q15" s="19" t="str">
        <f>'📂 Raw Data'!Q15</f>
        <v>Poor</v>
      </c>
      <c r="R15" s="55" t="str">
        <f>'📂 Raw Data'!R15</f>
        <v>Active</v>
      </c>
    </row>
    <row r="16" spans="1:18" ht="18" customHeight="1">
      <c r="A16" s="54" t="str">
        <f>'📂 Raw Data'!A16</f>
        <v>EMP1014</v>
      </c>
      <c r="B16" s="16" t="str">
        <f>PROPER(TRIM('📂 Raw Data'!B16))</f>
        <v>Sunita Ghosh</v>
      </c>
      <c r="C16" s="16">
        <f>'📂 Raw Data'!C16</f>
        <v>32</v>
      </c>
      <c r="D16" s="16" t="str">
        <f>IF(OR('📂 Raw Data'!D16="M",'📂 Raw Data'!D16="m"),"Male",IF(OR('📂 Raw Data'!D16="F",'📂 Raw Data'!D16="f"),"Female",PROPER('📂 Raw Data'!D16)))</f>
        <v>Female</v>
      </c>
      <c r="E16" s="17" t="str">
        <f>UPPER(TRIM('📂 Raw Data'!E16))</f>
        <v>MARKETING</v>
      </c>
      <c r="F16" s="16" t="str">
        <f>PROPER(TRIM('📂 Raw Data'!F16))</f>
        <v>Marketing Executive</v>
      </c>
      <c r="G16" s="16" t="str">
        <f>IFERROR(IF(ISNUMBER('📂 Raw Data'!G16),TEXT('📂 Raw Data'!G16,"DD-MMM-YYYY"),TEXT(DATEVALUE('📂 Raw Data'!G16),"DD-MMM-YYYY")),"Invalid Date")</f>
        <v>07-Sep-2016</v>
      </c>
      <c r="H16" s="16" t="str">
        <f>PROPER(TRIM('📂 Raw Data'!H16))</f>
        <v>Chennai</v>
      </c>
      <c r="I16" s="18">
        <f>IFERROR(IF(ISNUMBER('📂 Raw Data'!I16),ABS('📂 Raw Data'!I16),0),0)</f>
        <v>91307</v>
      </c>
      <c r="J16" s="18">
        <f>IFERROR(ABS('📂 Raw Data'!J16),0)</f>
        <v>32235</v>
      </c>
      <c r="K16" s="18">
        <f>IFERROR(ABS('📂 Raw Data'!K16),0)</f>
        <v>7718</v>
      </c>
      <c r="L16" s="18">
        <f>IFERROR(ABS('📂 Raw Data'!L16),0)</f>
        <v>7216</v>
      </c>
      <c r="M16" s="18">
        <f>IFERROR(ABS('📂 Raw Data'!M16),0)</f>
        <v>1563</v>
      </c>
      <c r="N16" s="18">
        <f t="shared" si="0"/>
        <v>140039</v>
      </c>
      <c r="O16" s="16">
        <f>IFERROR(ABS('📂 Raw Data'!O16),0)</f>
        <v>18</v>
      </c>
      <c r="P16" s="20">
        <v>63</v>
      </c>
      <c r="Q16" s="19" t="str">
        <f>'📂 Raw Data'!Q16</f>
        <v>Poor</v>
      </c>
      <c r="R16" s="55" t="str">
        <f>'📂 Raw Data'!R16</f>
        <v>Resigned</v>
      </c>
    </row>
    <row r="17" spans="1:18" ht="18" customHeight="1">
      <c r="A17" s="54" t="str">
        <f>'📂 Raw Data'!A17</f>
        <v>EMP1015</v>
      </c>
      <c r="B17" s="16" t="str">
        <f>PROPER(TRIM('📂 Raw Data'!B17))</f>
        <v>Tejal Patel</v>
      </c>
      <c r="C17" s="16">
        <f>'📂 Raw Data'!C17</f>
        <v>39</v>
      </c>
      <c r="D17" s="16" t="str">
        <f>IF(OR('📂 Raw Data'!D17="M",'📂 Raw Data'!D17="m"),"Male",IF(OR('📂 Raw Data'!D17="F",'📂 Raw Data'!D17="f"),"Female",PROPER('📂 Raw Data'!D17)))</f>
        <v>Male</v>
      </c>
      <c r="E17" s="17" t="str">
        <f>UPPER(TRIM('📂 Raw Data'!E17))</f>
        <v>OPERATIONS</v>
      </c>
      <c r="F17" s="16" t="str">
        <f>PROPER(TRIM('📂 Raw Data'!F17))</f>
        <v>Operations Executive</v>
      </c>
      <c r="G17" s="16" t="str">
        <f>IFERROR(IF(ISNUMBER('📂 Raw Data'!G17),TEXT('📂 Raw Data'!G17,"DD-MMM-YYYY"),TEXT(DATEVALUE('📂 Raw Data'!G17),"DD-MMM-YYYY")),"Invalid Date")</f>
        <v>22-May-2023</v>
      </c>
      <c r="H17" s="16" t="str">
        <f>PROPER(TRIM('📂 Raw Data'!H17))</f>
        <v>Bangalore</v>
      </c>
      <c r="I17" s="18">
        <f>IFERROR(IF(ISNUMBER('📂 Raw Data'!I17),ABS('📂 Raw Data'!I17),0),0)</f>
        <v>38577</v>
      </c>
      <c r="J17" s="18">
        <f>IFERROR(ABS('📂 Raw Data'!J17),0)</f>
        <v>18817</v>
      </c>
      <c r="K17" s="18">
        <f>IFERROR(ABS('📂 Raw Data'!K17),0)</f>
        <v>4200</v>
      </c>
      <c r="L17" s="18">
        <f>IFERROR(ABS('📂 Raw Data'!L17),0)</f>
        <v>2166</v>
      </c>
      <c r="M17" s="18">
        <f>IFERROR(ABS('📂 Raw Data'!M17),0)</f>
        <v>1945</v>
      </c>
      <c r="N17" s="18">
        <f t="shared" si="0"/>
        <v>65705</v>
      </c>
      <c r="O17" s="16">
        <f>IFERROR(ABS('📂 Raw Data'!O17),0)</f>
        <v>16</v>
      </c>
      <c r="P17" s="16">
        <v>87</v>
      </c>
      <c r="Q17" s="19" t="str">
        <f>'📂 Raw Data'!Q17</f>
        <v>Average</v>
      </c>
      <c r="R17" s="55" t="str">
        <f>'📂 Raw Data'!R17</f>
        <v>Resigned</v>
      </c>
    </row>
    <row r="18" spans="1:18" ht="18" customHeight="1">
      <c r="A18" s="54" t="str">
        <f>'📂 Raw Data'!A18</f>
        <v>EMP1016</v>
      </c>
      <c r="B18" s="16" t="str">
        <f>PROPER(TRIM('📂 Raw Data'!B18))</f>
        <v>Geeta Xavier</v>
      </c>
      <c r="C18" s="16">
        <f>'📂 Raw Data'!C18</f>
        <v>30</v>
      </c>
      <c r="D18" s="16" t="str">
        <f>IF(OR('📂 Raw Data'!D18="M",'📂 Raw Data'!D18="m"),"Male",IF(OR('📂 Raw Data'!D18="F",'📂 Raw Data'!D18="f"),"Female",PROPER('📂 Raw Data'!D18)))</f>
        <v>Female</v>
      </c>
      <c r="E18" s="17" t="str">
        <f>UPPER(TRIM('📂 Raw Data'!E18))</f>
        <v>SALES</v>
      </c>
      <c r="F18" s="16" t="str">
        <f>PROPER(TRIM('📂 Raw Data'!F18))</f>
        <v>Sales Manager</v>
      </c>
      <c r="G18" s="16" t="str">
        <f>IFERROR(IF(ISNUMBER('📂 Raw Data'!G18),TEXT('📂 Raw Data'!G18,"DD-MMM-YYYY"),TEXT(DATEVALUE('📂 Raw Data'!G18),"DD-MMM-YYYY")),"Invalid Date")</f>
        <v>09-Aug-2023</v>
      </c>
      <c r="H18" s="16" t="str">
        <f>PROPER(TRIM('📂 Raw Data'!H18))</f>
        <v>Pune</v>
      </c>
      <c r="I18" s="18">
        <f>IFERROR(IF(ISNUMBER('📂 Raw Data'!I18),ABS('📂 Raw Data'!I18),0),0)</f>
        <v>31658</v>
      </c>
      <c r="J18" s="18">
        <f>IFERROR(ABS('📂 Raw Data'!J18),0)</f>
        <v>10082</v>
      </c>
      <c r="K18" s="18">
        <f>IFERROR(ABS('📂 Raw Data'!K18),0)</f>
        <v>8939</v>
      </c>
      <c r="L18" s="18">
        <f>IFERROR(ABS('📂 Raw Data'!L18),0)</f>
        <v>6794</v>
      </c>
      <c r="M18" s="18">
        <f>IFERROR(ABS('📂 Raw Data'!M18),0)</f>
        <v>3266</v>
      </c>
      <c r="N18" s="18">
        <f t="shared" si="0"/>
        <v>60739</v>
      </c>
      <c r="O18" s="16">
        <f>IFERROR(ABS('📂 Raw Data'!O18),0)</f>
        <v>15</v>
      </c>
      <c r="P18" s="20">
        <v>40</v>
      </c>
      <c r="Q18" s="19" t="str">
        <f>'📂 Raw Data'!Q18</f>
        <v>Below Average</v>
      </c>
      <c r="R18" s="55" t="str">
        <f>'📂 Raw Data'!R18</f>
        <v>Active</v>
      </c>
    </row>
    <row r="19" spans="1:18" ht="18" customHeight="1">
      <c r="A19" s="54" t="str">
        <f>'📂 Raw Data'!A19</f>
        <v>EMP1017</v>
      </c>
      <c r="B19" s="16" t="str">
        <f>PROPER(TRIM('📂 Raw Data'!B19))</f>
        <v>Zeba Ghosh</v>
      </c>
      <c r="C19" s="16">
        <f>'📂 Raw Data'!C19</f>
        <v>31</v>
      </c>
      <c r="D19" s="16" t="str">
        <f>IF(OR('📂 Raw Data'!D19="M",'📂 Raw Data'!D19="m"),"Male",IF(OR('📂 Raw Data'!D19="F",'📂 Raw Data'!D19="f"),"Female",PROPER('📂 Raw Data'!D19)))</f>
        <v>Female</v>
      </c>
      <c r="E19" s="17" t="str">
        <f>UPPER(TRIM('📂 Raw Data'!E19))</f>
        <v>MARKETING</v>
      </c>
      <c r="F19" s="16" t="str">
        <f>PROPER(TRIM('📂 Raw Data'!F19))</f>
        <v>Brand Manager</v>
      </c>
      <c r="G19" s="16" t="str">
        <f>IFERROR(IF(ISNUMBER('📂 Raw Data'!G19),TEXT('📂 Raw Data'!G19,"DD-MMM-YYYY"),TEXT(DATEVALUE('📂 Raw Data'!G19),"DD-MMM-YYYY")),"Invalid Date")</f>
        <v>04-Jan-2023</v>
      </c>
      <c r="H19" s="16" t="str">
        <f>PROPER(TRIM('📂 Raw Data'!H19))</f>
        <v>Chennai</v>
      </c>
      <c r="I19" s="18">
        <f>IFERROR(IF(ISNUMBER('📂 Raw Data'!I19),ABS('📂 Raw Data'!I19),0),0)</f>
        <v>34862</v>
      </c>
      <c r="J19" s="18">
        <f>IFERROR(ABS('📂 Raw Data'!J19),0)</f>
        <v>17048</v>
      </c>
      <c r="K19" s="18">
        <f>IFERROR(ABS('📂 Raw Data'!K19),0)</f>
        <v>13321</v>
      </c>
      <c r="L19" s="18">
        <f>IFERROR(ABS('📂 Raw Data'!L19),0)</f>
        <v>7404</v>
      </c>
      <c r="M19" s="18">
        <f>IFERROR(ABS('📂 Raw Data'!M19),0)</f>
        <v>2221</v>
      </c>
      <c r="N19" s="18">
        <f t="shared" si="0"/>
        <v>74856</v>
      </c>
      <c r="O19" s="16">
        <f>IFERROR(ABS('📂 Raw Data'!O19),0)</f>
        <v>23</v>
      </c>
      <c r="P19" s="16">
        <v>42</v>
      </c>
      <c r="Q19" s="19" t="str">
        <f>'📂 Raw Data'!Q19</f>
        <v>Average</v>
      </c>
      <c r="R19" s="55" t="str">
        <f>'📂 Raw Data'!R19</f>
        <v>Active</v>
      </c>
    </row>
    <row r="20" spans="1:18" ht="18" customHeight="1">
      <c r="A20" s="54" t="str">
        <f>'📂 Raw Data'!A20</f>
        <v>EMP1018</v>
      </c>
      <c r="B20" s="16" t="str">
        <f>PROPER(TRIM('📂 Raw Data'!B20))</f>
        <v>Pooja Rastogi</v>
      </c>
      <c r="C20" s="16">
        <f>'📂 Raw Data'!C20</f>
        <v>37</v>
      </c>
      <c r="D20" s="16" t="str">
        <f>IF(OR('📂 Raw Data'!D20="M",'📂 Raw Data'!D20="m"),"Male",IF(OR('📂 Raw Data'!D20="F",'📂 Raw Data'!D20="f"),"Female",PROPER('📂 Raw Data'!D20)))</f>
        <v>Male</v>
      </c>
      <c r="E20" s="17" t="str">
        <f>UPPER(TRIM('📂 Raw Data'!E20))</f>
        <v>ENGINEERING</v>
      </c>
      <c r="F20" s="16" t="str">
        <f>PROPER(TRIM('📂 Raw Data'!F20))</f>
        <v>Tech Lead</v>
      </c>
      <c r="G20" s="16" t="str">
        <f>IFERROR(IF(ISNUMBER('📂 Raw Data'!G20),TEXT('📂 Raw Data'!G20,"DD-MMM-YYYY"),TEXT(DATEVALUE('📂 Raw Data'!G20),"DD-MMM-YYYY")),"Invalid Date")</f>
        <v>08-Nov-2018</v>
      </c>
      <c r="H20" s="16" t="str">
        <f>PROPER(TRIM('📂 Raw Data'!H20))</f>
        <v>Kolkata</v>
      </c>
      <c r="I20" s="18">
        <f>IFERROR(IF(ISNUMBER('📂 Raw Data'!I20),ABS('📂 Raw Data'!I20),0),0)</f>
        <v>112416</v>
      </c>
      <c r="J20" s="18">
        <f>IFERROR(ABS('📂 Raw Data'!J20),0)</f>
        <v>36036</v>
      </c>
      <c r="K20" s="18">
        <f>IFERROR(ABS('📂 Raw Data'!K20),0)</f>
        <v>14781</v>
      </c>
      <c r="L20" s="18">
        <f>IFERROR(ABS('📂 Raw Data'!L20),0)</f>
        <v>4586</v>
      </c>
      <c r="M20" s="18">
        <f>IFERROR(ABS('📂 Raw Data'!M20),0)</f>
        <v>4329</v>
      </c>
      <c r="N20" s="18">
        <f t="shared" si="0"/>
        <v>172148</v>
      </c>
      <c r="O20" s="16">
        <f>IFERROR(ABS('📂 Raw Data'!O20),0)</f>
        <v>24</v>
      </c>
      <c r="P20" s="20">
        <v>87</v>
      </c>
      <c r="Q20" s="19" t="str">
        <f>'📂 Raw Data'!Q20</f>
        <v>Good</v>
      </c>
      <c r="R20" s="55" t="str">
        <f>'📂 Raw Data'!R20</f>
        <v>Active</v>
      </c>
    </row>
    <row r="21" spans="1:18" ht="18" customHeight="1">
      <c r="A21" s="54" t="str">
        <f>'📂 Raw Data'!A21</f>
        <v>EMP1019</v>
      </c>
      <c r="B21" s="16" t="str">
        <f>PROPER(TRIM('📂 Raw Data'!B21))</f>
        <v>Deepa Tiwari</v>
      </c>
      <c r="C21" s="16">
        <f>'📂 Raw Data'!C21</f>
        <v>46</v>
      </c>
      <c r="D21" s="16" t="str">
        <f>IF(OR('📂 Raw Data'!D21="M",'📂 Raw Data'!D21="m"),"Male",IF(OR('📂 Raw Data'!D21="F",'📂 Raw Data'!D21="f"),"Female",PROPER('📂 Raw Data'!D21)))</f>
        <v>Male</v>
      </c>
      <c r="E21" s="17" t="str">
        <f>UPPER(TRIM('📂 Raw Data'!E21))</f>
        <v>FINANCE</v>
      </c>
      <c r="F21" s="16" t="str">
        <f>PROPER(TRIM('📂 Raw Data'!F21))</f>
        <v>Accountant</v>
      </c>
      <c r="G21" s="16" t="str">
        <f>IFERROR(IF(ISNUMBER('📂 Raw Data'!G21),TEXT('📂 Raw Data'!G21,"DD-MMM-YYYY"),TEXT(DATEVALUE('📂 Raw Data'!G21),"DD-MMM-YYYY")),"Invalid Date")</f>
        <v>11-Dec-2017</v>
      </c>
      <c r="H21" s="16" t="str">
        <f>PROPER(TRIM('📂 Raw Data'!H21))</f>
        <v>Kolkata</v>
      </c>
      <c r="I21" s="18">
        <f>IFERROR(IF(ISNUMBER('📂 Raw Data'!I21),ABS('📂 Raw Data'!I21),0),0)</f>
        <v>78964</v>
      </c>
      <c r="J21" s="18">
        <f>IFERROR(ABS('📂 Raw Data'!J21),0)</f>
        <v>36359</v>
      </c>
      <c r="K21" s="18">
        <f>IFERROR(ABS('📂 Raw Data'!K21),0)</f>
        <v>14043</v>
      </c>
      <c r="L21" s="18">
        <f>IFERROR(ABS('📂 Raw Data'!L21),0)</f>
        <v>6641</v>
      </c>
      <c r="M21" s="18">
        <f>IFERROR(ABS('📂 Raw Data'!M21),0)</f>
        <v>3032</v>
      </c>
      <c r="N21" s="18">
        <f t="shared" si="0"/>
        <v>139039</v>
      </c>
      <c r="O21" s="16">
        <f>IFERROR(ABS('📂 Raw Data'!O21),0)</f>
        <v>19</v>
      </c>
      <c r="P21" s="16">
        <v>50</v>
      </c>
      <c r="Q21" s="19" t="str">
        <f>'📂 Raw Data'!Q21</f>
        <v>Good</v>
      </c>
      <c r="R21" s="55" t="str">
        <f>'📂 Raw Data'!R21</f>
        <v>Active</v>
      </c>
    </row>
    <row r="22" spans="1:18" ht="18" customHeight="1">
      <c r="A22" s="54" t="str">
        <f>'📂 Raw Data'!A22</f>
        <v>EMP1020</v>
      </c>
      <c r="B22" s="16" t="str">
        <f>PROPER(TRIM('📂 Raw Data'!B22))</f>
        <v>Arun Zafar</v>
      </c>
      <c r="C22" s="16">
        <f>'📂 Raw Data'!C22</f>
        <v>39</v>
      </c>
      <c r="D22" s="16" t="str">
        <f>IF(OR('📂 Raw Data'!D22="M",'📂 Raw Data'!D22="m"),"Male",IF(OR('📂 Raw Data'!D22="F",'📂 Raw Data'!D22="f"),"Female",PROPER('📂 Raw Data'!D22)))</f>
        <v>Male</v>
      </c>
      <c r="E22" s="17" t="str">
        <f>UPPER(TRIM('📂 Raw Data'!E22))</f>
        <v>SALES</v>
      </c>
      <c r="F22" s="16" t="str">
        <f>PROPER(TRIM('📂 Raw Data'!F22))</f>
        <v>Business Dev</v>
      </c>
      <c r="G22" s="16" t="str">
        <f>IFERROR(IF(ISNUMBER('📂 Raw Data'!G22),TEXT('📂 Raw Data'!G22,"DD-MMM-YYYY"),TEXT(DATEVALUE('📂 Raw Data'!G22),"DD-MMM-YYYY")),"Invalid Date")</f>
        <v>27-May-2020</v>
      </c>
      <c r="H22" s="16" t="str">
        <f>PROPER(TRIM('📂 Raw Data'!H22))</f>
        <v>Bangalore</v>
      </c>
      <c r="I22" s="18">
        <f>IFERROR(IF(ISNUMBER('📂 Raw Data'!I22),ABS('📂 Raw Data'!I22),0),0)</f>
        <v>54831</v>
      </c>
      <c r="J22" s="18">
        <f>IFERROR(ABS('📂 Raw Data'!J22),0)</f>
        <v>18894</v>
      </c>
      <c r="K22" s="18">
        <f>IFERROR(ABS('📂 Raw Data'!K22),0)</f>
        <v>12813</v>
      </c>
      <c r="L22" s="18">
        <f>IFERROR(ABS('📂 Raw Data'!L22),0)</f>
        <v>1582</v>
      </c>
      <c r="M22" s="18">
        <f>IFERROR(ABS('📂 Raw Data'!M22),0)</f>
        <v>4264</v>
      </c>
      <c r="N22" s="18">
        <f t="shared" si="0"/>
        <v>92384</v>
      </c>
      <c r="O22" s="16">
        <f>IFERROR(ABS('📂 Raw Data'!O22),0)</f>
        <v>20</v>
      </c>
      <c r="P22" s="20">
        <v>57</v>
      </c>
      <c r="Q22" s="19" t="str">
        <f>'📂 Raw Data'!Q22</f>
        <v>Poor</v>
      </c>
      <c r="R22" s="55" t="str">
        <f>'📂 Raw Data'!R22</f>
        <v>On Leave</v>
      </c>
    </row>
    <row r="23" spans="1:18" ht="18" customHeight="1">
      <c r="A23" s="54" t="str">
        <f>'📂 Raw Data'!A23</f>
        <v>EMP1021</v>
      </c>
      <c r="B23" s="16" t="str">
        <f>PROPER(TRIM('📂 Raw Data'!B23))</f>
        <v>Arun Dixit</v>
      </c>
      <c r="C23" s="16">
        <f>'📂 Raw Data'!C23</f>
        <v>42</v>
      </c>
      <c r="D23" s="16" t="str">
        <f>IF(OR('📂 Raw Data'!D23="M",'📂 Raw Data'!D23="m"),"Male",IF(OR('📂 Raw Data'!D23="F",'📂 Raw Data'!D23="f"),"Female",PROPER('📂 Raw Data'!D23)))</f>
        <v>Female</v>
      </c>
      <c r="E23" s="17" t="str">
        <f>UPPER(TRIM('📂 Raw Data'!E23))</f>
        <v>HR</v>
      </c>
      <c r="F23" s="16" t="str">
        <f>PROPER(TRIM('📂 Raw Data'!F23))</f>
        <v>Hr Executive</v>
      </c>
      <c r="G23" s="16" t="str">
        <f>IFERROR(IF(ISNUMBER('📂 Raw Data'!G23),TEXT('📂 Raw Data'!G23,"DD-MMM-YYYY"),TEXT(DATEVALUE('📂 Raw Data'!G23),"DD-MMM-YYYY")),"Invalid Date")</f>
        <v>05-Jan-2016</v>
      </c>
      <c r="H23" s="16" t="str">
        <f>PROPER(TRIM('📂 Raw Data'!H23))</f>
        <v>Chennai</v>
      </c>
      <c r="I23" s="18">
        <f>IFERROR(IF(ISNUMBER('📂 Raw Data'!I23),ABS('📂 Raw Data'!I23),0),0)</f>
        <v>101099</v>
      </c>
      <c r="J23" s="18">
        <f>IFERROR(ABS('📂 Raw Data'!J23),0)</f>
        <v>49792</v>
      </c>
      <c r="K23" s="18">
        <f>IFERROR(ABS('📂 Raw Data'!K23),0)</f>
        <v>6349</v>
      </c>
      <c r="L23" s="18">
        <f>IFERROR(ABS('📂 Raw Data'!L23),0)</f>
        <v>313</v>
      </c>
      <c r="M23" s="18">
        <f>IFERROR(ABS('📂 Raw Data'!M23),0)</f>
        <v>1888</v>
      </c>
      <c r="N23" s="18">
        <f t="shared" si="0"/>
        <v>159441</v>
      </c>
      <c r="O23" s="16">
        <f>IFERROR(ABS('📂 Raw Data'!O23),0)</f>
        <v>24</v>
      </c>
      <c r="P23" s="16">
        <v>67</v>
      </c>
      <c r="Q23" s="19" t="str">
        <f>'📂 Raw Data'!Q23</f>
        <v>Below Average</v>
      </c>
      <c r="R23" s="55" t="str">
        <f>'📂 Raw Data'!R23</f>
        <v>Resigned</v>
      </c>
    </row>
    <row r="24" spans="1:18" ht="18" customHeight="1">
      <c r="A24" s="54" t="str">
        <f>'📂 Raw Data'!A24</f>
        <v>EMP1022</v>
      </c>
      <c r="B24" s="16" t="str">
        <f>PROPER(TRIM('📂 Raw Data'!B24))</f>
        <v>Manish Pillai</v>
      </c>
      <c r="C24" s="16">
        <f>'📂 Raw Data'!C24</f>
        <v>45</v>
      </c>
      <c r="D24" s="16" t="str">
        <f>IF(OR('📂 Raw Data'!D24="M",'📂 Raw Data'!D24="m"),"Male",IF(OR('📂 Raw Data'!D24="F",'📂 Raw Data'!D24="f"),"Female",PROPER('📂 Raw Data'!D24)))</f>
        <v>Male</v>
      </c>
      <c r="E24" s="17" t="str">
        <f>UPPER(TRIM('📂 Raw Data'!E24))</f>
        <v>MARKETING</v>
      </c>
      <c r="F24" s="16" t="str">
        <f>PROPER(TRIM('📂 Raw Data'!F24))</f>
        <v>Content Writer</v>
      </c>
      <c r="G24" s="16" t="str">
        <f>IFERROR(IF(ISNUMBER('📂 Raw Data'!G24),TEXT('📂 Raw Data'!G24,"DD-MMM-YYYY"),TEXT(DATEVALUE('📂 Raw Data'!G24),"DD-MMM-YYYY")),"Invalid Date")</f>
        <v>23-Jan-2019</v>
      </c>
      <c r="H24" s="16" t="str">
        <f>PROPER(TRIM('📂 Raw Data'!H24))</f>
        <v>Chennai</v>
      </c>
      <c r="I24" s="18">
        <f>IFERROR(IF(ISNUMBER('📂 Raw Data'!I24),ABS('📂 Raw Data'!I24),0),0)</f>
        <v>82154</v>
      </c>
      <c r="J24" s="18">
        <f>IFERROR(ABS('📂 Raw Data'!J24),0)</f>
        <v>24674</v>
      </c>
      <c r="K24" s="18">
        <f>IFERROR(ABS('📂 Raw Data'!K24),0)</f>
        <v>10821</v>
      </c>
      <c r="L24" s="18">
        <f>IFERROR(ABS('📂 Raw Data'!L24),0)</f>
        <v>5626</v>
      </c>
      <c r="M24" s="18">
        <f>IFERROR(ABS('📂 Raw Data'!M24),0)</f>
        <v>6893</v>
      </c>
      <c r="N24" s="18">
        <f t="shared" si="0"/>
        <v>130168</v>
      </c>
      <c r="O24" s="16">
        <f>IFERROR(ABS('📂 Raw Data'!O24),0)</f>
        <v>26</v>
      </c>
      <c r="P24" s="20">
        <v>87</v>
      </c>
      <c r="Q24" s="19" t="str">
        <f>'📂 Raw Data'!Q24</f>
        <v>Poor</v>
      </c>
      <c r="R24" s="55" t="str">
        <f>'📂 Raw Data'!R24</f>
        <v>Active</v>
      </c>
    </row>
    <row r="25" spans="1:18" ht="18" customHeight="1">
      <c r="A25" s="54" t="str">
        <f>'📂 Raw Data'!A25</f>
        <v>EMP1023</v>
      </c>
      <c r="B25" s="16" t="str">
        <f>PROPER(TRIM('📂 Raw Data'!B25))</f>
        <v>Bhavna Xavier</v>
      </c>
      <c r="C25" s="16">
        <f>'📂 Raw Data'!C25</f>
        <v>48</v>
      </c>
      <c r="D25" s="16" t="str">
        <f>IF(OR('📂 Raw Data'!D25="M",'📂 Raw Data'!D25="m"),"Male",IF(OR('📂 Raw Data'!D25="F",'📂 Raw Data'!D25="f"),"Female",PROPER('📂 Raw Data'!D25)))</f>
        <v>Male</v>
      </c>
      <c r="E25" s="17" t="str">
        <f>UPPER(TRIM('📂 Raw Data'!E25))</f>
        <v>HR</v>
      </c>
      <c r="F25" s="16" t="str">
        <f>PROPER(TRIM('📂 Raw Data'!F25))</f>
        <v>Hr Executive</v>
      </c>
      <c r="G25" s="16" t="str">
        <f>IFERROR(IF(ISNUMBER('📂 Raw Data'!G25),TEXT('📂 Raw Data'!G25,"DD-MMM-YYYY"),TEXT(DATEVALUE('📂 Raw Data'!G25),"DD-MMM-YYYY")),"Invalid Date")</f>
        <v>10-Sep-2019</v>
      </c>
      <c r="H25" s="16" t="str">
        <f>PROPER(TRIM('📂 Raw Data'!H25))</f>
        <v>Pune</v>
      </c>
      <c r="I25" s="18">
        <f>IFERROR(IF(ISNUMBER('📂 Raw Data'!I25),ABS('📂 Raw Data'!I25),0),0)</f>
        <v>112410</v>
      </c>
      <c r="J25" s="18">
        <f>IFERROR(ABS('📂 Raw Data'!J25),0)</f>
        <v>42904</v>
      </c>
      <c r="K25" s="18">
        <f>IFERROR(ABS('📂 Raw Data'!K25),0)</f>
        <v>8592</v>
      </c>
      <c r="L25" s="18">
        <f>IFERROR(ABS('📂 Raw Data'!L25),0)</f>
        <v>5711</v>
      </c>
      <c r="M25" s="18">
        <f>IFERROR(ABS('📂 Raw Data'!M25),0)</f>
        <v>3422</v>
      </c>
      <c r="N25" s="18">
        <f t="shared" si="0"/>
        <v>173039</v>
      </c>
      <c r="O25" s="16">
        <f>IFERROR(ABS('📂 Raw Data'!O25),0)</f>
        <v>23</v>
      </c>
      <c r="P25" s="16">
        <v>48</v>
      </c>
      <c r="Q25" s="19" t="str">
        <f>'📂 Raw Data'!Q25</f>
        <v>Good</v>
      </c>
      <c r="R25" s="55" t="str">
        <f>'📂 Raw Data'!R25</f>
        <v>Active</v>
      </c>
    </row>
    <row r="26" spans="1:18" ht="18" customHeight="1">
      <c r="A26" s="54" t="str">
        <f>'📂 Raw Data'!A26</f>
        <v>EMP1024</v>
      </c>
      <c r="B26" s="16" t="str">
        <f>PROPER(TRIM('📂 Raw Data'!B26))</f>
        <v>Bhavna Qadir</v>
      </c>
      <c r="C26" s="16">
        <f>'📂 Raw Data'!C26</f>
        <v>51</v>
      </c>
      <c r="D26" s="16" t="str">
        <f>IF(OR('📂 Raw Data'!D26="M",'📂 Raw Data'!D26="m"),"Male",IF(OR('📂 Raw Data'!D26="F",'📂 Raw Data'!D26="f"),"Female",PROPER('📂 Raw Data'!D26)))</f>
        <v>Female</v>
      </c>
      <c r="E26" s="17" t="str">
        <f>UPPER(TRIM('📂 Raw Data'!E26))</f>
        <v>MARKETING</v>
      </c>
      <c r="F26" s="16" t="str">
        <f>PROPER(TRIM('📂 Raw Data'!F26))</f>
        <v>Seo Specialist</v>
      </c>
      <c r="G26" s="16" t="str">
        <f>IFERROR(IF(ISNUMBER('📂 Raw Data'!G26),TEXT('📂 Raw Data'!G26,"DD-MMM-YYYY"),TEXT(DATEVALUE('📂 Raw Data'!G26),"DD-MMM-YYYY")),"Invalid Date")</f>
        <v>27-Sep-2021</v>
      </c>
      <c r="H26" s="16" t="str">
        <f>PROPER(TRIM('📂 Raw Data'!H26))</f>
        <v>Chennai</v>
      </c>
      <c r="I26" s="18">
        <f>IFERROR(IF(ISNUMBER('📂 Raw Data'!I26),ABS('📂 Raw Data'!I26),0),0)</f>
        <v>25053</v>
      </c>
      <c r="J26" s="18">
        <f>IFERROR(ABS('📂 Raw Data'!J26),0)</f>
        <v>9038</v>
      </c>
      <c r="K26" s="18">
        <f>IFERROR(ABS('📂 Raw Data'!K26),0)</f>
        <v>5443</v>
      </c>
      <c r="L26" s="18">
        <f>IFERROR(ABS('📂 Raw Data'!L26),0)</f>
        <v>3521</v>
      </c>
      <c r="M26" s="18">
        <f>IFERROR(ABS('📂 Raw Data'!M26),0)</f>
        <v>7436</v>
      </c>
      <c r="N26" s="18">
        <f t="shared" si="0"/>
        <v>50491</v>
      </c>
      <c r="O26" s="16">
        <f>IFERROR(ABS('📂 Raw Data'!O26),0)</f>
        <v>24</v>
      </c>
      <c r="P26" s="20">
        <v>78</v>
      </c>
      <c r="Q26" s="19" t="str">
        <f>'📂 Raw Data'!Q26</f>
        <v>Poor</v>
      </c>
      <c r="R26" s="55" t="str">
        <f>'📂 Raw Data'!R26</f>
        <v>Active</v>
      </c>
    </row>
    <row r="27" spans="1:18" ht="18" customHeight="1">
      <c r="A27" s="54" t="str">
        <f>'📂 Raw Data'!A27</f>
        <v>EMP1025</v>
      </c>
      <c r="B27" s="16" t="str">
        <f>PROPER(TRIM('📂 Raw Data'!B27))</f>
        <v>Riya Yadav</v>
      </c>
      <c r="C27" s="16">
        <f>'📂 Raw Data'!C27</f>
        <v>36</v>
      </c>
      <c r="D27" s="16" t="str">
        <f>IF(OR('📂 Raw Data'!D27="M",'📂 Raw Data'!D27="m"),"Male",IF(OR('📂 Raw Data'!D27="F",'📂 Raw Data'!D27="f"),"Female",PROPER('📂 Raw Data'!D27)))</f>
        <v>Female</v>
      </c>
      <c r="E27" s="17" t="str">
        <f>UPPER(TRIM('📂 Raw Data'!E27))</f>
        <v>FINANCE</v>
      </c>
      <c r="F27" s="16" t="str">
        <f>PROPER(TRIM('📂 Raw Data'!F27))</f>
        <v>Senior Accountant</v>
      </c>
      <c r="G27" s="16" t="str">
        <f>IFERROR(IF(ISNUMBER('📂 Raw Data'!G27),TEXT('📂 Raw Data'!G27,"DD-MMM-YYYY"),TEXT(DATEVALUE('📂 Raw Data'!G27),"DD-MMM-YYYY")),"Invalid Date")</f>
        <v>17-May-2016</v>
      </c>
      <c r="H27" s="16" t="str">
        <f>PROPER(TRIM('📂 Raw Data'!H27))</f>
        <v>Kolkata</v>
      </c>
      <c r="I27" s="18">
        <f>IFERROR(IF(ISNUMBER('📂 Raw Data'!I27),ABS('📂 Raw Data'!I27),0),0)</f>
        <v>112012</v>
      </c>
      <c r="J27" s="18">
        <f>IFERROR(ABS('📂 Raw Data'!J27),0)</f>
        <v>47783</v>
      </c>
      <c r="K27" s="18">
        <f>IFERROR(ABS('📂 Raw Data'!K27),0)</f>
        <v>7491</v>
      </c>
      <c r="L27" s="18">
        <f>IFERROR(ABS('📂 Raw Data'!L27),0)</f>
        <v>765</v>
      </c>
      <c r="M27" s="18">
        <f>IFERROR(ABS('📂 Raw Data'!M27),0)</f>
        <v>7704</v>
      </c>
      <c r="N27" s="18">
        <f t="shared" si="0"/>
        <v>175755</v>
      </c>
      <c r="O27" s="16">
        <f>IFERROR(ABS('📂 Raw Data'!O27),0)</f>
        <v>18</v>
      </c>
      <c r="P27" s="16">
        <v>83</v>
      </c>
      <c r="Q27" s="19" t="str">
        <f>'📂 Raw Data'!Q27</f>
        <v>Excellent</v>
      </c>
      <c r="R27" s="55" t="str">
        <f>'📂 Raw Data'!R27</f>
        <v>Active</v>
      </c>
    </row>
    <row r="28" spans="1:18" ht="18" customHeight="1">
      <c r="A28" s="54" t="str">
        <f>'📂 Raw Data'!A28</f>
        <v>EMP1026</v>
      </c>
      <c r="B28" s="16" t="str">
        <f>PROPER(TRIM('📂 Raw Data'!B28))</f>
        <v>Esha Das</v>
      </c>
      <c r="C28" s="16">
        <f>'📂 Raw Data'!C28</f>
        <v>31</v>
      </c>
      <c r="D28" s="16" t="str">
        <f>IF(OR('📂 Raw Data'!D28="M",'📂 Raw Data'!D28="m"),"Male",IF(OR('📂 Raw Data'!D28="F",'📂 Raw Data'!D28="f"),"Female",PROPER('📂 Raw Data'!D28)))</f>
        <v>Male</v>
      </c>
      <c r="E28" s="17" t="str">
        <f>UPPER(TRIM('📂 Raw Data'!E28))</f>
        <v>SALES</v>
      </c>
      <c r="F28" s="16" t="str">
        <f>PROPER(TRIM('📂 Raw Data'!F28))</f>
        <v>Business Dev</v>
      </c>
      <c r="G28" s="16" t="str">
        <f>IFERROR(IF(ISNUMBER('📂 Raw Data'!G28),TEXT('📂 Raw Data'!G28,"DD-MMM-YYYY"),TEXT(DATEVALUE('📂 Raw Data'!G28),"DD-MMM-YYYY")),"Invalid Date")</f>
        <v>14-Aug-2016</v>
      </c>
      <c r="H28" s="16" t="str">
        <f>PROPER(TRIM('📂 Raw Data'!H28))</f>
        <v>Pune</v>
      </c>
      <c r="I28" s="18">
        <f>IFERROR(IF(ISNUMBER('📂 Raw Data'!I28),ABS('📂 Raw Data'!I28),0),0)</f>
        <v>0</v>
      </c>
      <c r="J28" s="18">
        <f>IFERROR(ABS('📂 Raw Data'!J28),0)</f>
        <v>44645</v>
      </c>
      <c r="K28" s="18">
        <f>IFERROR(ABS('📂 Raw Data'!K28),0)</f>
        <v>13769</v>
      </c>
      <c r="L28" s="18">
        <f>IFERROR(ABS('📂 Raw Data'!L28),0)</f>
        <v>5704</v>
      </c>
      <c r="M28" s="18">
        <f>IFERROR(ABS('📂 Raw Data'!M28),0)</f>
        <v>4145</v>
      </c>
      <c r="N28" s="18">
        <f t="shared" si="0"/>
        <v>68263</v>
      </c>
      <c r="O28" s="16">
        <f>IFERROR(ABS('📂 Raw Data'!O28),0)</f>
        <v>22</v>
      </c>
      <c r="P28" s="20">
        <v>65</v>
      </c>
      <c r="Q28" s="19" t="str">
        <f>'📂 Raw Data'!Q28</f>
        <v>Excellent</v>
      </c>
      <c r="R28" s="55" t="str">
        <f>'📂 Raw Data'!R28</f>
        <v>On Leave</v>
      </c>
    </row>
    <row r="29" spans="1:18" ht="18" customHeight="1">
      <c r="A29" s="54" t="str">
        <f>'📂 Raw Data'!A29</f>
        <v>EMP1027</v>
      </c>
      <c r="B29" s="16" t="str">
        <f>PROPER(TRIM('📂 Raw Data'!B29))</f>
        <v>Hina Bhatia</v>
      </c>
      <c r="C29" s="16">
        <f>'📂 Raw Data'!C29</f>
        <v>51</v>
      </c>
      <c r="D29" s="16" t="str">
        <f>IF(OR('📂 Raw Data'!D29="M",'📂 Raw Data'!D29="m"),"Male",IF(OR('📂 Raw Data'!D29="F",'📂 Raw Data'!D29="f"),"Female",PROPER('📂 Raw Data'!D29)))</f>
        <v>Male</v>
      </c>
      <c r="E29" s="17" t="str">
        <f>UPPER(TRIM('📂 Raw Data'!E29))</f>
        <v>FINANCE</v>
      </c>
      <c r="F29" s="16" t="str">
        <f>PROPER(TRIM('📂 Raw Data'!F29))</f>
        <v>Senior Accountant</v>
      </c>
      <c r="G29" s="16" t="str">
        <f>IFERROR(IF(ISNUMBER('📂 Raw Data'!G29),TEXT('📂 Raw Data'!G29,"DD-MMM-YYYY"),TEXT(DATEVALUE('📂 Raw Data'!G29),"DD-MMM-YYYY")),"Invalid Date")</f>
        <v>17-Dec-2017</v>
      </c>
      <c r="H29" s="16" t="str">
        <f>PROPER(TRIM('📂 Raw Data'!H29))</f>
        <v>Pune</v>
      </c>
      <c r="I29" s="18">
        <f>IFERROR(IF(ISNUMBER('📂 Raw Data'!I29),ABS('📂 Raw Data'!I29),0),0)</f>
        <v>85889</v>
      </c>
      <c r="J29" s="18">
        <f>IFERROR(ABS('📂 Raw Data'!J29),0)</f>
        <v>26629</v>
      </c>
      <c r="K29" s="18">
        <f>IFERROR(ABS('📂 Raw Data'!K29),0)</f>
        <v>6082</v>
      </c>
      <c r="L29" s="18">
        <f>IFERROR(ABS('📂 Raw Data'!L29),0)</f>
        <v>7515</v>
      </c>
      <c r="M29" s="18">
        <f>IFERROR(ABS('📂 Raw Data'!M29),0)</f>
        <v>7949</v>
      </c>
      <c r="N29" s="18">
        <f t="shared" si="0"/>
        <v>134064</v>
      </c>
      <c r="O29" s="16">
        <f>IFERROR(ABS('📂 Raw Data'!O29),0)</f>
        <v>16</v>
      </c>
      <c r="P29" s="16">
        <v>69</v>
      </c>
      <c r="Q29" s="19" t="str">
        <f>'📂 Raw Data'!Q29</f>
        <v>Average</v>
      </c>
      <c r="R29" s="55" t="str">
        <f>'📂 Raw Data'!R29</f>
        <v>Resigned</v>
      </c>
    </row>
    <row r="30" spans="1:18" ht="18" customHeight="1">
      <c r="A30" s="54" t="str">
        <f>'📂 Raw Data'!A30</f>
        <v>EMP1028</v>
      </c>
      <c r="B30" s="16" t="str">
        <f>PROPER(TRIM('📂 Raw Data'!B30))</f>
        <v>Nikhil Patel</v>
      </c>
      <c r="C30" s="16">
        <f>'📂 Raw Data'!C30</f>
        <v>37</v>
      </c>
      <c r="D30" s="16" t="str">
        <f>IF(OR('📂 Raw Data'!D30="M",'📂 Raw Data'!D30="m"),"Male",IF(OR('📂 Raw Data'!D30="F",'📂 Raw Data'!D30="f"),"Female",PROPER('📂 Raw Data'!D30)))</f>
        <v>Female</v>
      </c>
      <c r="E30" s="17" t="str">
        <f>UPPER(TRIM('📂 Raw Data'!E30))</f>
        <v>FINANCE</v>
      </c>
      <c r="F30" s="16" t="str">
        <f>PROPER(TRIM('📂 Raw Data'!F30))</f>
        <v>Auditor</v>
      </c>
      <c r="G30" s="16" t="str">
        <f>IFERROR(IF(ISNUMBER('📂 Raw Data'!G30),TEXT('📂 Raw Data'!G30,"DD-MMM-YYYY"),TEXT(DATEVALUE('📂 Raw Data'!G30),"DD-MMM-YYYY")),"Invalid Date")</f>
        <v>06-Aug-2023</v>
      </c>
      <c r="H30" s="16" t="str">
        <f>PROPER(TRIM('📂 Raw Data'!H30))</f>
        <v>Bangalore</v>
      </c>
      <c r="I30" s="18">
        <f>IFERROR(IF(ISNUMBER('📂 Raw Data'!I30),ABS('📂 Raw Data'!I30),0),0)</f>
        <v>87216</v>
      </c>
      <c r="J30" s="18">
        <f>IFERROR(ABS('📂 Raw Data'!J30),0)</f>
        <v>34015</v>
      </c>
      <c r="K30" s="18">
        <f>IFERROR(ABS('📂 Raw Data'!K30),0)</f>
        <v>14317</v>
      </c>
      <c r="L30" s="18">
        <f>IFERROR(ABS('📂 Raw Data'!L30),0)</f>
        <v>2025</v>
      </c>
      <c r="M30" s="18">
        <f>IFERROR(ABS('📂 Raw Data'!M30),0)</f>
        <v>7880</v>
      </c>
      <c r="N30" s="18">
        <f t="shared" si="0"/>
        <v>145453</v>
      </c>
      <c r="O30" s="16">
        <f>IFERROR(ABS('📂 Raw Data'!O30),0)</f>
        <v>25</v>
      </c>
      <c r="P30" s="20">
        <v>57</v>
      </c>
      <c r="Q30" s="19" t="str">
        <f>'📂 Raw Data'!Q30</f>
        <v>Average</v>
      </c>
      <c r="R30" s="55" t="str">
        <f>'📂 Raw Data'!R30</f>
        <v>Active</v>
      </c>
    </row>
    <row r="31" spans="1:18" ht="18" customHeight="1">
      <c r="A31" s="54" t="str">
        <f>'📂 Raw Data'!A31</f>
        <v>EMP1029</v>
      </c>
      <c r="B31" s="16" t="str">
        <f>PROPER(TRIM('📂 Raw Data'!B31))</f>
        <v>Harsh Reddy</v>
      </c>
      <c r="C31" s="16">
        <f>'📂 Raw Data'!C31</f>
        <v>26</v>
      </c>
      <c r="D31" s="16" t="str">
        <f>IF(OR('📂 Raw Data'!D31="M",'📂 Raw Data'!D31="m"),"Male",IF(OR('📂 Raw Data'!D31="F",'📂 Raw Data'!D31="f"),"Female",PROPER('📂 Raw Data'!D31)))</f>
        <v>Male</v>
      </c>
      <c r="E31" s="17" t="str">
        <f>UPPER(TRIM('📂 Raw Data'!E31))</f>
        <v>SALES</v>
      </c>
      <c r="F31" s="16" t="str">
        <f>PROPER(TRIM('📂 Raw Data'!F31))</f>
        <v>Sales Manager</v>
      </c>
      <c r="G31" s="16" t="str">
        <f>IFERROR(IF(ISNUMBER('📂 Raw Data'!G31),TEXT('📂 Raw Data'!G31,"DD-MMM-YYYY"),TEXT(DATEVALUE('📂 Raw Data'!G31),"DD-MMM-YYYY")),"Invalid Date")</f>
        <v>18-Jun-2020</v>
      </c>
      <c r="H31" s="16" t="str">
        <f>PROPER(TRIM('📂 Raw Data'!H31))</f>
        <v>Chennai</v>
      </c>
      <c r="I31" s="18">
        <f>IFERROR(IF(ISNUMBER('📂 Raw Data'!I31),ABS('📂 Raw Data'!I31),0),0)</f>
        <v>35561</v>
      </c>
      <c r="J31" s="18">
        <f>IFERROR(ABS('📂 Raw Data'!J31),0)</f>
        <v>11652</v>
      </c>
      <c r="K31" s="18">
        <f>IFERROR(ABS('📂 Raw Data'!K31),0)</f>
        <v>5788</v>
      </c>
      <c r="L31" s="18">
        <f>IFERROR(ABS('📂 Raw Data'!L31),0)</f>
        <v>3137</v>
      </c>
      <c r="M31" s="18">
        <f>IFERROR(ABS('📂 Raw Data'!M31),0)</f>
        <v>6684</v>
      </c>
      <c r="N31" s="18">
        <f t="shared" si="0"/>
        <v>62822</v>
      </c>
      <c r="O31" s="16">
        <f>IFERROR(ABS('📂 Raw Data'!O31),0)</f>
        <v>17</v>
      </c>
      <c r="P31" s="16">
        <v>85</v>
      </c>
      <c r="Q31" s="19" t="str">
        <f>'📂 Raw Data'!Q31</f>
        <v>Below Average</v>
      </c>
      <c r="R31" s="55" t="str">
        <f>'📂 Raw Data'!R31</f>
        <v>Active</v>
      </c>
    </row>
    <row r="32" spans="1:18" ht="18" customHeight="1">
      <c r="A32" s="54" t="str">
        <f>'📂 Raw Data'!A32</f>
        <v>EMP1030</v>
      </c>
      <c r="B32" s="16" t="str">
        <f>PROPER(TRIM('📂 Raw Data'!B32))</f>
        <v>Farhan Saxena</v>
      </c>
      <c r="C32" s="16">
        <f>'📂 Raw Data'!C32</f>
        <v>22</v>
      </c>
      <c r="D32" s="16" t="str">
        <f>IF(OR('📂 Raw Data'!D32="M",'📂 Raw Data'!D32="m"),"Male",IF(OR('📂 Raw Data'!D32="F",'📂 Raw Data'!D32="f"),"Female",PROPER('📂 Raw Data'!D32)))</f>
        <v>Female</v>
      </c>
      <c r="E32" s="17" t="str">
        <f>UPPER(TRIM('📂 Raw Data'!E32))</f>
        <v>FINANCE</v>
      </c>
      <c r="F32" s="16" t="str">
        <f>PROPER(TRIM('📂 Raw Data'!F32))</f>
        <v>Accountant</v>
      </c>
      <c r="G32" s="16" t="str">
        <f>IFERROR(IF(ISNUMBER('📂 Raw Data'!G32),TEXT('📂 Raw Data'!G32,"DD-MMM-YYYY"),TEXT(DATEVALUE('📂 Raw Data'!G32),"DD-MMM-YYYY")),"Invalid Date")</f>
        <v>13-Jul-2018</v>
      </c>
      <c r="H32" s="16" t="str">
        <f>PROPER(TRIM('📂 Raw Data'!H32))</f>
        <v>Bangalore</v>
      </c>
      <c r="I32" s="18">
        <f>IFERROR(IF(ISNUMBER('📂 Raw Data'!I32),ABS('📂 Raw Data'!I32),0),0)</f>
        <v>101556</v>
      </c>
      <c r="J32" s="18">
        <f>IFERROR(ABS('📂 Raw Data'!J32),0)</f>
        <v>49682</v>
      </c>
      <c r="K32" s="18">
        <f>IFERROR(ABS('📂 Raw Data'!K32),0)</f>
        <v>2320</v>
      </c>
      <c r="L32" s="18">
        <f>IFERROR(ABS('📂 Raw Data'!L32),0)</f>
        <v>7018</v>
      </c>
      <c r="M32" s="18">
        <f>IFERROR(ABS('📂 Raw Data'!M32),0)</f>
        <v>7271</v>
      </c>
      <c r="N32" s="18">
        <f t="shared" si="0"/>
        <v>167847</v>
      </c>
      <c r="O32" s="16">
        <f>IFERROR(ABS('📂 Raw Data'!O32),0)</f>
        <v>24</v>
      </c>
      <c r="P32" s="20">
        <v>64</v>
      </c>
      <c r="Q32" s="19" t="str">
        <f>'📂 Raw Data'!Q32</f>
        <v>Below Average</v>
      </c>
      <c r="R32" s="55" t="str">
        <f>'📂 Raw Data'!R32</f>
        <v>Active</v>
      </c>
    </row>
    <row r="33" spans="1:18" ht="18" customHeight="1">
      <c r="A33" s="54" t="str">
        <f>'📂 Raw Data'!A33</f>
        <v>EMP1031</v>
      </c>
      <c r="B33" s="16" t="str">
        <f>PROPER(TRIM('📂 Raw Data'!B33))</f>
        <v>Karan Gupta</v>
      </c>
      <c r="C33" s="16">
        <f>'📂 Raw Data'!C33</f>
        <v>32</v>
      </c>
      <c r="D33" s="16" t="str">
        <f>IF(OR('📂 Raw Data'!D33="M",'📂 Raw Data'!D33="m"),"Male",IF(OR('📂 Raw Data'!D33="F",'📂 Raw Data'!D33="f"),"Female",PROPER('📂 Raw Data'!D33)))</f>
        <v>Female</v>
      </c>
      <c r="E33" s="17" t="str">
        <f>UPPER(TRIM('📂 Raw Data'!E33))</f>
        <v>MARKETING</v>
      </c>
      <c r="F33" s="16" t="str">
        <f>PROPER(TRIM('📂 Raw Data'!F33))</f>
        <v>Content Writer</v>
      </c>
      <c r="G33" s="16" t="str">
        <f>IFERROR(IF(ISNUMBER('📂 Raw Data'!G33),TEXT('📂 Raw Data'!G33,"DD-MMM-YYYY"),TEXT(DATEVALUE('📂 Raw Data'!G33),"DD-MMM-YYYY")),"Invalid Date")</f>
        <v>09-Apr-2022</v>
      </c>
      <c r="H33" s="16" t="str">
        <f>PROPER(TRIM('📂 Raw Data'!H33))</f>
        <v>Kolkata</v>
      </c>
      <c r="I33" s="18">
        <f>IFERROR(IF(ISNUMBER('📂 Raw Data'!I33),ABS('📂 Raw Data'!I33),0),0)</f>
        <v>82125</v>
      </c>
      <c r="J33" s="18">
        <f>IFERROR(ABS('📂 Raw Data'!J33),0)</f>
        <v>32614</v>
      </c>
      <c r="K33" s="18">
        <f>IFERROR(ABS('📂 Raw Data'!K33),0)</f>
        <v>8371</v>
      </c>
      <c r="L33" s="18">
        <f>IFERROR(ABS('📂 Raw Data'!L33),0)</f>
        <v>2753</v>
      </c>
      <c r="M33" s="18">
        <f>IFERROR(ABS('📂 Raw Data'!M33),0)</f>
        <v>6479</v>
      </c>
      <c r="N33" s="18">
        <f t="shared" si="0"/>
        <v>132342</v>
      </c>
      <c r="O33" s="16">
        <f>IFERROR(ABS('📂 Raw Data'!O33),0)</f>
        <v>25</v>
      </c>
      <c r="P33" s="16">
        <v>91</v>
      </c>
      <c r="Q33" s="19" t="str">
        <f>'📂 Raw Data'!Q33</f>
        <v>Poor</v>
      </c>
      <c r="R33" s="55" t="str">
        <f>'📂 Raw Data'!R33</f>
        <v>Active</v>
      </c>
    </row>
    <row r="34" spans="1:18" ht="18" customHeight="1">
      <c r="A34" s="54" t="str">
        <f>'📂 Raw Data'!A34</f>
        <v>EMP1032</v>
      </c>
      <c r="B34" s="16" t="str">
        <f>PROPER(TRIM('📂 Raw Data'!B34))</f>
        <v>Harsh Das</v>
      </c>
      <c r="C34" s="16">
        <f>'📂 Raw Data'!C34</f>
        <v>35</v>
      </c>
      <c r="D34" s="16" t="str">
        <f>IF(OR('📂 Raw Data'!D34="M",'📂 Raw Data'!D34="m"),"Male",IF(OR('📂 Raw Data'!D34="F",'📂 Raw Data'!D34="f"),"Female",PROPER('📂 Raw Data'!D34)))</f>
        <v>Female</v>
      </c>
      <c r="E34" s="17" t="str">
        <f>UPPER(TRIM('📂 Raw Data'!E34))</f>
        <v>ENGINEERING</v>
      </c>
      <c r="F34" s="16" t="str">
        <f>PROPER(TRIM('📂 Raw Data'!F34))</f>
        <v>Qa Engineer</v>
      </c>
      <c r="G34" s="16" t="str">
        <f>IFERROR(IF(ISNUMBER('📂 Raw Data'!G34),TEXT('📂 Raw Data'!G34,"DD-MMM-YYYY"),TEXT(DATEVALUE('📂 Raw Data'!G34),"DD-MMM-YYYY")),"Invalid Date")</f>
        <v>21-Feb-2015</v>
      </c>
      <c r="H34" s="16" t="str">
        <f>PROPER(TRIM('📂 Raw Data'!H34))</f>
        <v>Chennai</v>
      </c>
      <c r="I34" s="18">
        <f>IFERROR(IF(ISNUMBER('📂 Raw Data'!I34),ABS('📂 Raw Data'!I34),0),0)</f>
        <v>81179</v>
      </c>
      <c r="J34" s="18">
        <f>IFERROR(ABS('📂 Raw Data'!J34),0)</f>
        <v>26557</v>
      </c>
      <c r="K34" s="18">
        <f>IFERROR(ABS('📂 Raw Data'!K34),0)</f>
        <v>9564</v>
      </c>
      <c r="L34" s="18">
        <f>IFERROR(ABS('📂 Raw Data'!L34),0)</f>
        <v>1488</v>
      </c>
      <c r="M34" s="18">
        <f>IFERROR(ABS('📂 Raw Data'!M34),0)</f>
        <v>1411</v>
      </c>
      <c r="N34" s="18">
        <f t="shared" si="0"/>
        <v>120199</v>
      </c>
      <c r="O34" s="16">
        <f>IFERROR(ABS('📂 Raw Data'!O34),0)</f>
        <v>19</v>
      </c>
      <c r="P34" s="20">
        <v>64</v>
      </c>
      <c r="Q34" s="19" t="str">
        <f>'📂 Raw Data'!Q34</f>
        <v>Below Average</v>
      </c>
      <c r="R34" s="55" t="str">
        <f>'📂 Raw Data'!R34</f>
        <v>Active</v>
      </c>
    </row>
    <row r="35" spans="1:18" ht="18" customHeight="1">
      <c r="A35" s="54" t="str">
        <f>'📂 Raw Data'!A35</f>
        <v>EMP1033</v>
      </c>
      <c r="B35" s="16" t="str">
        <f>PROPER(TRIM('📂 Raw Data'!B35))</f>
        <v>Ekta Fernandez</v>
      </c>
      <c r="C35" s="16">
        <f>'📂 Raw Data'!C35</f>
        <v>24</v>
      </c>
      <c r="D35" s="16" t="str">
        <f>IF(OR('📂 Raw Data'!D35="M",'📂 Raw Data'!D35="m"),"Male",IF(OR('📂 Raw Data'!D35="F",'📂 Raw Data'!D35="f"),"Female",PROPER('📂 Raw Data'!D35)))</f>
        <v>Male</v>
      </c>
      <c r="E35" s="17" t="str">
        <f>UPPER(TRIM('📂 Raw Data'!E35))</f>
        <v>HR</v>
      </c>
      <c r="F35" s="16" t="str">
        <f>PROPER(TRIM('📂 Raw Data'!F35))</f>
        <v>Training Coordinator</v>
      </c>
      <c r="G35" s="16" t="str">
        <f>IFERROR(IF(ISNUMBER('📂 Raw Data'!G35),TEXT('📂 Raw Data'!G35,"DD-MMM-YYYY"),TEXT(DATEVALUE('📂 Raw Data'!G35),"DD-MMM-YYYY")),"Invalid Date")</f>
        <v>16-Feb-2019</v>
      </c>
      <c r="H35" s="16" t="str">
        <f>PROPER(TRIM('📂 Raw Data'!H35))</f>
        <v>Kolkata</v>
      </c>
      <c r="I35" s="18">
        <f>IFERROR(IF(ISNUMBER('📂 Raw Data'!I35),ABS('📂 Raw Data'!I35),0),0)</f>
        <v>27540</v>
      </c>
      <c r="J35" s="18">
        <f>IFERROR(ABS('📂 Raw Data'!J35),0)</f>
        <v>12388</v>
      </c>
      <c r="K35" s="18">
        <f>IFERROR(ABS('📂 Raw Data'!K35),0)</f>
        <v>2853</v>
      </c>
      <c r="L35" s="18">
        <f>IFERROR(ABS('📂 Raw Data'!L35),0)</f>
        <v>7798</v>
      </c>
      <c r="M35" s="18">
        <f>IFERROR(ABS('📂 Raw Data'!M35),0)</f>
        <v>3866</v>
      </c>
      <c r="N35" s="18">
        <f t="shared" si="0"/>
        <v>54445</v>
      </c>
      <c r="O35" s="16">
        <f>IFERROR(ABS('📂 Raw Data'!O35),0)</f>
        <v>18</v>
      </c>
      <c r="P35" s="16">
        <v>81</v>
      </c>
      <c r="Q35" s="19" t="str">
        <f>'📂 Raw Data'!Q35</f>
        <v>Excellent</v>
      </c>
      <c r="R35" s="55" t="str">
        <f>'📂 Raw Data'!R35</f>
        <v>Active</v>
      </c>
    </row>
    <row r="36" spans="1:18" ht="18" customHeight="1">
      <c r="A36" s="54" t="str">
        <f>'📂 Raw Data'!A36</f>
        <v>EMP1034</v>
      </c>
      <c r="B36" s="16" t="str">
        <f>PROPER(TRIM('📂 Raw Data'!B36))</f>
        <v>Bharat Patel</v>
      </c>
      <c r="C36" s="16">
        <f>'📂 Raw Data'!C36</f>
        <v>32</v>
      </c>
      <c r="D36" s="16" t="str">
        <f>IF(OR('📂 Raw Data'!D36="M",'📂 Raw Data'!D36="m"),"Male",IF(OR('📂 Raw Data'!D36="F",'📂 Raw Data'!D36="f"),"Female",PROPER('📂 Raw Data'!D36)))</f>
        <v>Female</v>
      </c>
      <c r="E36" s="17" t="str">
        <f>UPPER(TRIM('📂 Raw Data'!E36))</f>
        <v>MARKETING</v>
      </c>
      <c r="F36" s="16" t="str">
        <f>PROPER(TRIM('📂 Raw Data'!F36))</f>
        <v>Content Writer</v>
      </c>
      <c r="G36" s="16" t="str">
        <f>IFERROR(IF(ISNUMBER('📂 Raw Data'!G36),TEXT('📂 Raw Data'!G36,"DD-MMM-YYYY"),TEXT(DATEVALUE('📂 Raw Data'!G36),"DD-MMM-YYYY")),"Invalid Date")</f>
        <v>16-Mar-2018</v>
      </c>
      <c r="H36" s="16" t="str">
        <f>PROPER(TRIM('📂 Raw Data'!H36))</f>
        <v>Hyderabad</v>
      </c>
      <c r="I36" s="18">
        <f>IFERROR(IF(ISNUMBER('📂 Raw Data'!I36),ABS('📂 Raw Data'!I36),0),0)</f>
        <v>112747</v>
      </c>
      <c r="J36" s="18">
        <f>IFERROR(ABS('📂 Raw Data'!J36),0)</f>
        <v>36404</v>
      </c>
      <c r="K36" s="18">
        <f>IFERROR(ABS('📂 Raw Data'!K36),0)</f>
        <v>5571</v>
      </c>
      <c r="L36" s="18">
        <f>IFERROR(ABS('📂 Raw Data'!L36),0)</f>
        <v>3809</v>
      </c>
      <c r="M36" s="18">
        <f>IFERROR(ABS('📂 Raw Data'!M36),0)</f>
        <v>6730</v>
      </c>
      <c r="N36" s="18">
        <f t="shared" si="0"/>
        <v>165261</v>
      </c>
      <c r="O36" s="16">
        <f>IFERROR(ABS('📂 Raw Data'!O36),0)</f>
        <v>19</v>
      </c>
      <c r="P36" s="20">
        <v>89</v>
      </c>
      <c r="Q36" s="19" t="str">
        <f>'📂 Raw Data'!Q36</f>
        <v>Excellent</v>
      </c>
      <c r="R36" s="55" t="str">
        <f>'📂 Raw Data'!R36</f>
        <v>Resigned</v>
      </c>
    </row>
    <row r="37" spans="1:18" ht="18" customHeight="1">
      <c r="A37" s="54" t="str">
        <f>'📂 Raw Data'!A37</f>
        <v>EMP1035</v>
      </c>
      <c r="B37" s="16" t="str">
        <f>PROPER(TRIM('📂 Raw Data'!B37))</f>
        <v>Deepa Iyer</v>
      </c>
      <c r="C37" s="16">
        <f>'📂 Raw Data'!C37</f>
        <v>28</v>
      </c>
      <c r="D37" s="16" t="str">
        <f>IF(OR('📂 Raw Data'!D37="M",'📂 Raw Data'!D37="m"),"Male",IF(OR('📂 Raw Data'!D37="F",'📂 Raw Data'!D37="f"),"Female",PROPER('📂 Raw Data'!D37)))</f>
        <v>Male</v>
      </c>
      <c r="E37" s="17" t="str">
        <f>UPPER(TRIM('📂 Raw Data'!E37))</f>
        <v>SALES</v>
      </c>
      <c r="F37" s="16" t="str">
        <f>PROPER(TRIM('📂 Raw Data'!F37))</f>
        <v>Sales Manager</v>
      </c>
      <c r="G37" s="16" t="str">
        <f>IFERROR(IF(ISNUMBER('📂 Raw Data'!G37),TEXT('📂 Raw Data'!G37,"DD-MMM-YYYY"),TEXT(DATEVALUE('📂 Raw Data'!G37),"DD-MMM-YYYY")),"Invalid Date")</f>
        <v>01-Oct-2016</v>
      </c>
      <c r="H37" s="16" t="str">
        <f>PROPER(TRIM('📂 Raw Data'!H37))</f>
        <v>Pune</v>
      </c>
      <c r="I37" s="18">
        <f>IFERROR(IF(ISNUMBER('📂 Raw Data'!I37),ABS('📂 Raw Data'!I37),0),0)</f>
        <v>65888</v>
      </c>
      <c r="J37" s="18">
        <f>IFERROR(ABS('📂 Raw Data'!J37),0)</f>
        <v>27354</v>
      </c>
      <c r="K37" s="18">
        <f>IFERROR(ABS('📂 Raw Data'!K37),0)</f>
        <v>8149</v>
      </c>
      <c r="L37" s="18">
        <f>IFERROR(ABS('📂 Raw Data'!L37),0)</f>
        <v>3249</v>
      </c>
      <c r="M37" s="18">
        <f>IFERROR(ABS('📂 Raw Data'!M37),0)</f>
        <v>6857</v>
      </c>
      <c r="N37" s="18">
        <f t="shared" si="0"/>
        <v>111497</v>
      </c>
      <c r="O37" s="16">
        <f>IFERROR(ABS('📂 Raw Data'!O37),0)</f>
        <v>18</v>
      </c>
      <c r="P37" s="16">
        <v>44</v>
      </c>
      <c r="Q37" s="19" t="str">
        <f>'📂 Raw Data'!Q37</f>
        <v>Poor</v>
      </c>
      <c r="R37" s="55" t="str">
        <f>'📂 Raw Data'!R37</f>
        <v>Active</v>
      </c>
    </row>
    <row r="38" spans="1:18" ht="18" customHeight="1">
      <c r="A38" s="54" t="str">
        <f>'📂 Raw Data'!A38</f>
        <v>EMP1036</v>
      </c>
      <c r="B38" s="16" t="str">
        <f>PROPER(TRIM('📂 Raw Data'!B38))</f>
        <v>Tarun Vashistha</v>
      </c>
      <c r="C38" s="16">
        <f>'📂 Raw Data'!C38</f>
        <v>53</v>
      </c>
      <c r="D38" s="16" t="str">
        <f>IF(OR('📂 Raw Data'!D38="M",'📂 Raw Data'!D38="m"),"Male",IF(OR('📂 Raw Data'!D38="F",'📂 Raw Data'!D38="f"),"Female",PROPER('📂 Raw Data'!D38)))</f>
        <v>Female</v>
      </c>
      <c r="E38" s="17" t="str">
        <f>UPPER(TRIM('📂 Raw Data'!E38))</f>
        <v>ENGINEERING</v>
      </c>
      <c r="F38" s="16" t="str">
        <f>PROPER(TRIM('📂 Raw Data'!F38))</f>
        <v>Software Engineer</v>
      </c>
      <c r="G38" s="16" t="str">
        <f>IFERROR(IF(ISNUMBER('📂 Raw Data'!G38),TEXT('📂 Raw Data'!G38,"DD-MMM-YYYY"),TEXT(DATEVALUE('📂 Raw Data'!G38),"DD-MMM-YYYY")),"Invalid Date")</f>
        <v>14-Sep-2020</v>
      </c>
      <c r="H38" s="16" t="str">
        <f>PROPER(TRIM('📂 Raw Data'!H38))</f>
        <v>Mumbai</v>
      </c>
      <c r="I38" s="18">
        <f>IFERROR(IF(ISNUMBER('📂 Raw Data'!I38),ABS('📂 Raw Data'!I38),0),0)</f>
        <v>111706</v>
      </c>
      <c r="J38" s="18">
        <f>IFERROR(ABS('📂 Raw Data'!J38),0)</f>
        <v>41791</v>
      </c>
      <c r="K38" s="18">
        <f>IFERROR(ABS('📂 Raw Data'!K38),0)</f>
        <v>10289</v>
      </c>
      <c r="L38" s="18">
        <f>IFERROR(ABS('📂 Raw Data'!L38),0)</f>
        <v>5304</v>
      </c>
      <c r="M38" s="18">
        <f>IFERROR(ABS('📂 Raw Data'!M38),0)</f>
        <v>3795</v>
      </c>
      <c r="N38" s="18">
        <f t="shared" si="0"/>
        <v>172885</v>
      </c>
      <c r="O38" s="16">
        <f>IFERROR(ABS('📂 Raw Data'!O38),0)</f>
        <v>15</v>
      </c>
      <c r="P38" s="20">
        <v>94</v>
      </c>
      <c r="Q38" s="19" t="str">
        <f>'📂 Raw Data'!Q38</f>
        <v>Below Average</v>
      </c>
      <c r="R38" s="55" t="str">
        <f>'📂 Raw Data'!R38</f>
        <v>Active</v>
      </c>
    </row>
    <row r="39" spans="1:18" ht="18" customHeight="1">
      <c r="A39" s="54" t="str">
        <f>'📂 Raw Data'!A39</f>
        <v>EMP1037</v>
      </c>
      <c r="B39" s="16" t="str">
        <f>PROPER(TRIM('📂 Raw Data'!B39))</f>
        <v>Kavita Ahuja</v>
      </c>
      <c r="C39" s="16">
        <f>'📂 Raw Data'!C39</f>
        <v>51</v>
      </c>
      <c r="D39" s="16" t="str">
        <f>IF(OR('📂 Raw Data'!D39="M",'📂 Raw Data'!D39="m"),"Male",IF(OR('📂 Raw Data'!D39="F",'📂 Raw Data'!D39="f"),"Female",PROPER('📂 Raw Data'!D39)))</f>
        <v>Female</v>
      </c>
      <c r="E39" s="17" t="str">
        <f>UPPER(TRIM('📂 Raw Data'!E39))</f>
        <v>OPERATIONS</v>
      </c>
      <c r="F39" s="16" t="str">
        <f>PROPER(TRIM('📂 Raw Data'!F39))</f>
        <v>Logistics Manager</v>
      </c>
      <c r="G39" s="16" t="str">
        <f>IFERROR(IF(ISNUMBER('📂 Raw Data'!G39),TEXT('📂 Raw Data'!G39,"DD-MMM-YYYY"),TEXT(DATEVALUE('📂 Raw Data'!G39),"DD-MMM-YYYY")),"Invalid Date")</f>
        <v>24-Mar-2021</v>
      </c>
      <c r="H39" s="16" t="str">
        <f>PROPER(TRIM('📂 Raw Data'!H39))</f>
        <v>Chennai</v>
      </c>
      <c r="I39" s="18">
        <f>IFERROR(IF(ISNUMBER('📂 Raw Data'!I39),ABS('📂 Raw Data'!I39),0),0)</f>
        <v>93386</v>
      </c>
      <c r="J39" s="18">
        <f>IFERROR(ABS('📂 Raw Data'!J39),0)</f>
        <v>46048</v>
      </c>
      <c r="K39" s="18">
        <f>IFERROR(ABS('📂 Raw Data'!K39),0)</f>
        <v>6425</v>
      </c>
      <c r="L39" s="18">
        <f>IFERROR(ABS('📂 Raw Data'!L39),0)</f>
        <v>5045</v>
      </c>
      <c r="M39" s="18">
        <f>IFERROR(ABS('📂 Raw Data'!M39),0)</f>
        <v>7620</v>
      </c>
      <c r="N39" s="18">
        <f t="shared" si="0"/>
        <v>158524</v>
      </c>
      <c r="O39" s="16">
        <f>IFERROR(ABS('📂 Raw Data'!O39),0)</f>
        <v>23</v>
      </c>
      <c r="P39" s="16">
        <v>89</v>
      </c>
      <c r="Q39" s="19" t="str">
        <f>'📂 Raw Data'!Q39</f>
        <v>Average</v>
      </c>
      <c r="R39" s="55" t="str">
        <f>'📂 Raw Data'!R39</f>
        <v>On Leave</v>
      </c>
    </row>
    <row r="40" spans="1:18" ht="18" customHeight="1">
      <c r="A40" s="54" t="str">
        <f>'📂 Raw Data'!A40</f>
        <v>EMP1038</v>
      </c>
      <c r="B40" s="16" t="str">
        <f>PROPER(TRIM('📂 Raw Data'!B40))</f>
        <v>Rohit Rastogi</v>
      </c>
      <c r="C40" s="16">
        <f>'📂 Raw Data'!C40</f>
        <v>33</v>
      </c>
      <c r="D40" s="16" t="str">
        <f>IF(OR('📂 Raw Data'!D40="M",'📂 Raw Data'!D40="m"),"Male",IF(OR('📂 Raw Data'!D40="F",'📂 Raw Data'!D40="f"),"Female",PROPER('📂 Raw Data'!D40)))</f>
        <v>Female</v>
      </c>
      <c r="E40" s="17" t="str">
        <f>UPPER(TRIM('📂 Raw Data'!E40))</f>
        <v>SALES</v>
      </c>
      <c r="F40" s="16" t="str">
        <f>PROPER(TRIM('📂 Raw Data'!F40))</f>
        <v>Sales Executive</v>
      </c>
      <c r="G40" s="16" t="str">
        <f>IFERROR(IF(ISNUMBER('📂 Raw Data'!G40),TEXT('📂 Raw Data'!G40,"DD-MMM-YYYY"),TEXT(DATEVALUE('📂 Raw Data'!G40),"DD-MMM-YYYY")),"Invalid Date")</f>
        <v>08-Aug-2019</v>
      </c>
      <c r="H40" s="16" t="str">
        <f>PROPER(TRIM('📂 Raw Data'!H40))</f>
        <v>Chennai</v>
      </c>
      <c r="I40" s="18">
        <f>IFERROR(IF(ISNUMBER('📂 Raw Data'!I40),ABS('📂 Raw Data'!I40),0),0)</f>
        <v>85910</v>
      </c>
      <c r="J40" s="18">
        <f>IFERROR(ABS('📂 Raw Data'!J40),0)</f>
        <v>35564</v>
      </c>
      <c r="K40" s="18">
        <f>IFERROR(ABS('📂 Raw Data'!K40),0)</f>
        <v>12947</v>
      </c>
      <c r="L40" s="18">
        <f>IFERROR(ABS('📂 Raw Data'!L40),0)</f>
        <v>3104</v>
      </c>
      <c r="M40" s="18">
        <f>IFERROR(ABS('📂 Raw Data'!M40),0)</f>
        <v>3755</v>
      </c>
      <c r="N40" s="18">
        <f t="shared" si="0"/>
        <v>141280</v>
      </c>
      <c r="O40" s="16">
        <f>IFERROR(ABS('📂 Raw Data'!O40),0)</f>
        <v>15</v>
      </c>
      <c r="P40" s="20">
        <v>71</v>
      </c>
      <c r="Q40" s="19" t="str">
        <f>'📂 Raw Data'!Q40</f>
        <v>Average</v>
      </c>
      <c r="R40" s="55" t="str">
        <f>'📂 Raw Data'!R40</f>
        <v>Active</v>
      </c>
    </row>
    <row r="41" spans="1:18" ht="18" customHeight="1">
      <c r="A41" s="54" t="str">
        <f>'📂 Raw Data'!A41</f>
        <v>EMP1039</v>
      </c>
      <c r="B41" s="16" t="str">
        <f>PROPER(TRIM('📂 Raw Data'!B41))</f>
        <v>Lakshmi Kapoor</v>
      </c>
      <c r="C41" s="16">
        <f>'📂 Raw Data'!C41</f>
        <v>52</v>
      </c>
      <c r="D41" s="16" t="str">
        <f>IF(OR('📂 Raw Data'!D41="M",'📂 Raw Data'!D41="m"),"Male",IF(OR('📂 Raw Data'!D41="F",'📂 Raw Data'!D41="f"),"Female",PROPER('📂 Raw Data'!D41)))</f>
        <v>Male</v>
      </c>
      <c r="E41" s="17" t="str">
        <f>UPPER(TRIM('📂 Raw Data'!E41))</f>
        <v>HR</v>
      </c>
      <c r="F41" s="16" t="str">
        <f>PROPER(TRIM('📂 Raw Data'!F41))</f>
        <v>Recruiter</v>
      </c>
      <c r="G41" s="16" t="str">
        <f>IFERROR(IF(ISNUMBER('📂 Raw Data'!G41),TEXT('📂 Raw Data'!G41,"DD-MMM-YYYY"),TEXT(DATEVALUE('📂 Raw Data'!G41),"DD-MMM-YYYY")),"Invalid Date")</f>
        <v>01-Sep-2019</v>
      </c>
      <c r="H41" s="16" t="str">
        <f>PROPER(TRIM('📂 Raw Data'!H41))</f>
        <v>Pune</v>
      </c>
      <c r="I41" s="18">
        <f>IFERROR(IF(ISNUMBER('📂 Raw Data'!I41),ABS('📂 Raw Data'!I41),0),0)</f>
        <v>92715</v>
      </c>
      <c r="J41" s="18">
        <f>IFERROR(ABS('📂 Raw Data'!J41),0)</f>
        <v>45394</v>
      </c>
      <c r="K41" s="18">
        <f>IFERROR(ABS('📂 Raw Data'!K41),0)</f>
        <v>3402</v>
      </c>
      <c r="L41" s="18">
        <f>IFERROR(ABS('📂 Raw Data'!L41),0)</f>
        <v>1977</v>
      </c>
      <c r="M41" s="18">
        <f>IFERROR(ABS('📂 Raw Data'!M41),0)</f>
        <v>6898</v>
      </c>
      <c r="N41" s="18">
        <f t="shared" si="0"/>
        <v>150386</v>
      </c>
      <c r="O41" s="16">
        <f>IFERROR(ABS('📂 Raw Data'!O41),0)</f>
        <v>21</v>
      </c>
      <c r="P41" s="16">
        <v>71</v>
      </c>
      <c r="Q41" s="19" t="str">
        <f>'📂 Raw Data'!Q41</f>
        <v>Excellent</v>
      </c>
      <c r="R41" s="55" t="str">
        <f>'📂 Raw Data'!R41</f>
        <v>On Leave</v>
      </c>
    </row>
    <row r="42" spans="1:18" ht="18" customHeight="1">
      <c r="A42" s="54" t="str">
        <f>'📂 Raw Data'!A42</f>
        <v>EMP1040</v>
      </c>
      <c r="B42" s="16" t="str">
        <f>PROPER(TRIM('📂 Raw Data'!B42))</f>
        <v>Harsh Thakur</v>
      </c>
      <c r="C42" s="16">
        <f>'📂 Raw Data'!C42</f>
        <v>49</v>
      </c>
      <c r="D42" s="16" t="str">
        <f>IF(OR('📂 Raw Data'!D42="M",'📂 Raw Data'!D42="m"),"Male",IF(OR('📂 Raw Data'!D42="F",'📂 Raw Data'!D42="f"),"Female",PROPER('📂 Raw Data'!D42)))</f>
        <v>Female</v>
      </c>
      <c r="E42" s="17" t="str">
        <f>UPPER(TRIM('📂 Raw Data'!E42))</f>
        <v>ENGINEERING</v>
      </c>
      <c r="F42" s="16" t="str">
        <f>PROPER(TRIM('📂 Raw Data'!F42))</f>
        <v>Tech Lead</v>
      </c>
      <c r="G42" s="16" t="str">
        <f>IFERROR(IF(ISNUMBER('📂 Raw Data'!G42),TEXT('📂 Raw Data'!G42,"DD-MMM-YYYY"),TEXT(DATEVALUE('📂 Raw Data'!G42),"DD-MMM-YYYY")),"Invalid Date")</f>
        <v>23-Jul-2018</v>
      </c>
      <c r="H42" s="16" t="str">
        <f>PROPER(TRIM('📂 Raw Data'!H42))</f>
        <v>Pune</v>
      </c>
      <c r="I42" s="18">
        <f>IFERROR(IF(ISNUMBER('📂 Raw Data'!I42),ABS('📂 Raw Data'!I42),0),0)</f>
        <v>56890</v>
      </c>
      <c r="J42" s="18">
        <f>IFERROR(ABS('📂 Raw Data'!J42),0)</f>
        <v>20551</v>
      </c>
      <c r="K42" s="18">
        <f>IFERROR(ABS('📂 Raw Data'!K42),0)</f>
        <v>11528</v>
      </c>
      <c r="L42" s="18">
        <f>IFERROR(ABS('📂 Raw Data'!L42),0)</f>
        <v>3023</v>
      </c>
      <c r="M42" s="18">
        <f>IFERROR(ABS('📂 Raw Data'!M42),0)</f>
        <v>4876</v>
      </c>
      <c r="N42" s="18">
        <f t="shared" si="0"/>
        <v>96868</v>
      </c>
      <c r="O42" s="16">
        <f>IFERROR(ABS('📂 Raw Data'!O42),0)</f>
        <v>23</v>
      </c>
      <c r="P42" s="20">
        <v>73</v>
      </c>
      <c r="Q42" s="19" t="str">
        <f>'📂 Raw Data'!Q42</f>
        <v>Below Average</v>
      </c>
      <c r="R42" s="55" t="str">
        <f>'📂 Raw Data'!R42</f>
        <v>Resigned</v>
      </c>
    </row>
    <row r="43" spans="1:18" ht="18" customHeight="1">
      <c r="A43" s="54" t="str">
        <f>'📂 Raw Data'!A43</f>
        <v>EMP1041</v>
      </c>
      <c r="B43" s="16" t="str">
        <f>PROPER(TRIM('📂 Raw Data'!B43))</f>
        <v>Shreya Kumar</v>
      </c>
      <c r="C43" s="16">
        <f>'📂 Raw Data'!C43</f>
        <v>35</v>
      </c>
      <c r="D43" s="16" t="str">
        <f>IF(OR('📂 Raw Data'!D43="M",'📂 Raw Data'!D43="m"),"Male",IF(OR('📂 Raw Data'!D43="F",'📂 Raw Data'!D43="f"),"Female",PROPER('📂 Raw Data'!D43)))</f>
        <v>Male</v>
      </c>
      <c r="E43" s="17" t="str">
        <f>UPPER(TRIM('📂 Raw Data'!E43))</f>
        <v>HR</v>
      </c>
      <c r="F43" s="16" t="str">
        <f>PROPER(TRIM('📂 Raw Data'!F43))</f>
        <v>Recruiter</v>
      </c>
      <c r="G43" s="16" t="str">
        <f>IFERROR(IF(ISNUMBER('📂 Raw Data'!G43),TEXT('📂 Raw Data'!G43,"DD-MMM-YYYY"),TEXT(DATEVALUE('📂 Raw Data'!G43),"DD-MMM-YYYY")),"Invalid Date")</f>
        <v>04-Jan-2019</v>
      </c>
      <c r="H43" s="16" t="str">
        <f>PROPER(TRIM('📂 Raw Data'!H43))</f>
        <v>Pune</v>
      </c>
      <c r="I43" s="18">
        <f>IFERROR(IF(ISNUMBER('📂 Raw Data'!I43),ABS('📂 Raw Data'!I43),0),0)</f>
        <v>119540</v>
      </c>
      <c r="J43" s="18">
        <f>IFERROR(ABS('📂 Raw Data'!J43),0)</f>
        <v>40466</v>
      </c>
      <c r="K43" s="18">
        <f>IFERROR(ABS('📂 Raw Data'!K43),0)</f>
        <v>3958</v>
      </c>
      <c r="L43" s="18">
        <f>IFERROR(ABS('📂 Raw Data'!L43),0)</f>
        <v>6085</v>
      </c>
      <c r="M43" s="18">
        <f>IFERROR(ABS('📂 Raw Data'!M43),0)</f>
        <v>5389</v>
      </c>
      <c r="N43" s="18">
        <f t="shared" si="0"/>
        <v>175438</v>
      </c>
      <c r="O43" s="16">
        <f>IFERROR(ABS('📂 Raw Data'!O43),0)</f>
        <v>26</v>
      </c>
      <c r="P43" s="16">
        <v>51</v>
      </c>
      <c r="Q43" s="19" t="str">
        <f>'📂 Raw Data'!Q43</f>
        <v>Poor</v>
      </c>
      <c r="R43" s="55" t="str">
        <f>'📂 Raw Data'!R43</f>
        <v>Active</v>
      </c>
    </row>
    <row r="44" spans="1:18" ht="18" customHeight="1">
      <c r="A44" s="54" t="str">
        <f>'📂 Raw Data'!A44</f>
        <v>EMP1042</v>
      </c>
      <c r="B44" s="16" t="str">
        <f>PROPER(TRIM('📂 Raw Data'!B44))</f>
        <v>Vimal Upadhyay</v>
      </c>
      <c r="C44" s="16">
        <f>'📂 Raw Data'!C44</f>
        <v>24</v>
      </c>
      <c r="D44" s="16" t="str">
        <f>IF(OR('📂 Raw Data'!D44="M",'📂 Raw Data'!D44="m"),"Male",IF(OR('📂 Raw Data'!D44="F",'📂 Raw Data'!D44="f"),"Female",PROPER('📂 Raw Data'!D44)))</f>
        <v>Female</v>
      </c>
      <c r="E44" s="17" t="str">
        <f>UPPER(TRIM('📂 Raw Data'!E44))</f>
        <v>MARKETING</v>
      </c>
      <c r="F44" s="16" t="str">
        <f>PROPER(TRIM('📂 Raw Data'!F44))</f>
        <v>Seo Specialist</v>
      </c>
      <c r="G44" s="16" t="str">
        <f>IFERROR(IF(ISNUMBER('📂 Raw Data'!G44),TEXT('📂 Raw Data'!G44,"DD-MMM-YYYY"),TEXT(DATEVALUE('📂 Raw Data'!G44),"DD-MMM-YYYY")),"Invalid Date")</f>
        <v>10-Apr-2016</v>
      </c>
      <c r="H44" s="16" t="str">
        <f>PROPER(TRIM('📂 Raw Data'!H44))</f>
        <v>Mumbai</v>
      </c>
      <c r="I44" s="18">
        <f>IFERROR(IF(ISNUMBER('📂 Raw Data'!I44),ABS('📂 Raw Data'!I44),0),0)</f>
        <v>54816</v>
      </c>
      <c r="J44" s="18">
        <f>IFERROR(ABS('📂 Raw Data'!J44),0)</f>
        <v>20401</v>
      </c>
      <c r="K44" s="18">
        <f>IFERROR(ABS('📂 Raw Data'!K44),0)</f>
        <v>6952</v>
      </c>
      <c r="L44" s="18">
        <f>IFERROR(ABS('📂 Raw Data'!L44),0)</f>
        <v>115</v>
      </c>
      <c r="M44" s="18">
        <f>IFERROR(ABS('📂 Raw Data'!M44),0)</f>
        <v>6800</v>
      </c>
      <c r="N44" s="18">
        <f t="shared" si="0"/>
        <v>89084</v>
      </c>
      <c r="O44" s="16">
        <f>IFERROR(ABS('📂 Raw Data'!O44),0)</f>
        <v>23</v>
      </c>
      <c r="P44" s="20">
        <v>48</v>
      </c>
      <c r="Q44" s="19" t="str">
        <f>'📂 Raw Data'!Q44</f>
        <v>Good</v>
      </c>
      <c r="R44" s="55" t="str">
        <f>'📂 Raw Data'!R44</f>
        <v>Resigned</v>
      </c>
    </row>
    <row r="45" spans="1:18" ht="18" customHeight="1">
      <c r="A45" s="54" t="str">
        <f>'📂 Raw Data'!A45</f>
        <v>EMP1043</v>
      </c>
      <c r="B45" s="16" t="str">
        <f>PROPER(TRIM('📂 Raw Data'!B45))</f>
        <v>Vikas Shah</v>
      </c>
      <c r="C45" s="16">
        <f>'📂 Raw Data'!C45</f>
        <v>29</v>
      </c>
      <c r="D45" s="16" t="str">
        <f>IF(OR('📂 Raw Data'!D45="M",'📂 Raw Data'!D45="m"),"Male",IF(OR('📂 Raw Data'!D45="F",'📂 Raw Data'!D45="f"),"Female",PROPER('📂 Raw Data'!D45)))</f>
        <v>Female</v>
      </c>
      <c r="E45" s="17" t="str">
        <f>UPPER(TRIM('📂 Raw Data'!E45))</f>
        <v>OPERATIONS</v>
      </c>
      <c r="F45" s="16" t="str">
        <f>PROPER(TRIM('📂 Raw Data'!F45))</f>
        <v>Coordinator</v>
      </c>
      <c r="G45" s="16" t="str">
        <f>IFERROR(IF(ISNUMBER('📂 Raw Data'!G45),TEXT('📂 Raw Data'!G45,"DD-MMM-YYYY"),TEXT(DATEVALUE('📂 Raw Data'!G45),"DD-MMM-YYYY")),"Invalid Date")</f>
        <v>19-Jan-2016</v>
      </c>
      <c r="H45" s="16" t="str">
        <f>PROPER(TRIM('📂 Raw Data'!H45))</f>
        <v>Kolkata</v>
      </c>
      <c r="I45" s="18">
        <f>IFERROR(IF(ISNUMBER('📂 Raw Data'!I45),ABS('📂 Raw Data'!I45),0),0)</f>
        <v>62268</v>
      </c>
      <c r="J45" s="18">
        <f>IFERROR(ABS('📂 Raw Data'!J45),0)</f>
        <v>24526</v>
      </c>
      <c r="K45" s="18">
        <f>IFERROR(ABS('📂 Raw Data'!K45),0)</f>
        <v>9216</v>
      </c>
      <c r="L45" s="18">
        <f>IFERROR(ABS('📂 Raw Data'!L45),0)</f>
        <v>2791</v>
      </c>
      <c r="M45" s="18">
        <f>IFERROR(ABS('📂 Raw Data'!M45),0)</f>
        <v>2510</v>
      </c>
      <c r="N45" s="18">
        <f t="shared" si="0"/>
        <v>101311</v>
      </c>
      <c r="O45" s="16">
        <f>IFERROR(ABS('📂 Raw Data'!O45),0)</f>
        <v>15</v>
      </c>
      <c r="P45" s="16">
        <v>56</v>
      </c>
      <c r="Q45" s="19" t="str">
        <f>'📂 Raw Data'!Q45</f>
        <v>Excellent</v>
      </c>
      <c r="R45" s="55" t="str">
        <f>'📂 Raw Data'!R45</f>
        <v>Active</v>
      </c>
    </row>
    <row r="46" spans="1:18" ht="18" customHeight="1">
      <c r="A46" s="54" t="str">
        <f>'📂 Raw Data'!A46</f>
        <v>EMP1044</v>
      </c>
      <c r="B46" s="16" t="str">
        <f>PROPER(TRIM('📂 Raw Data'!B46))</f>
        <v>Naina Kapoor</v>
      </c>
      <c r="C46" s="16">
        <f>'📂 Raw Data'!C46</f>
        <v>36</v>
      </c>
      <c r="D46" s="16" t="str">
        <f>IF(OR('📂 Raw Data'!D46="M",'📂 Raw Data'!D46="m"),"Male",IF(OR('📂 Raw Data'!D46="F",'📂 Raw Data'!D46="f"),"Female",PROPER('📂 Raw Data'!D46)))</f>
        <v>Female</v>
      </c>
      <c r="E46" s="17" t="str">
        <f>UPPER(TRIM('📂 Raw Data'!E46))</f>
        <v>MARKETING</v>
      </c>
      <c r="F46" s="16" t="str">
        <f>PROPER(TRIM('📂 Raw Data'!F46))</f>
        <v>Marketing Executive</v>
      </c>
      <c r="G46" s="16" t="str">
        <f>IFERROR(IF(ISNUMBER('📂 Raw Data'!G46),TEXT('📂 Raw Data'!G46,"DD-MMM-YYYY"),TEXT(DATEVALUE('📂 Raw Data'!G46),"DD-MMM-YYYY")),"Invalid Date")</f>
        <v>26-Mar-2017</v>
      </c>
      <c r="H46" s="16" t="str">
        <f>PROPER(TRIM('📂 Raw Data'!H46))</f>
        <v>Kolkata</v>
      </c>
      <c r="I46" s="18">
        <f>IFERROR(IF(ISNUMBER('📂 Raw Data'!I46),ABS('📂 Raw Data'!I46),0),0)</f>
        <v>98772</v>
      </c>
      <c r="J46" s="18">
        <f>IFERROR(ABS('📂 Raw Data'!J46),0)</f>
        <v>48381</v>
      </c>
      <c r="K46" s="18">
        <f>IFERROR(ABS('📂 Raw Data'!K46),0)</f>
        <v>3395</v>
      </c>
      <c r="L46" s="18">
        <f>IFERROR(ABS('📂 Raw Data'!L46),0)</f>
        <v>2033</v>
      </c>
      <c r="M46" s="18">
        <f>IFERROR(ABS('📂 Raw Data'!M46),0)</f>
        <v>1970</v>
      </c>
      <c r="N46" s="18">
        <f t="shared" si="0"/>
        <v>154551</v>
      </c>
      <c r="O46" s="16">
        <f>IFERROR(ABS('📂 Raw Data'!O46),0)</f>
        <v>23</v>
      </c>
      <c r="P46" s="20">
        <v>88</v>
      </c>
      <c r="Q46" s="19" t="str">
        <f>'📂 Raw Data'!Q46</f>
        <v>Below Average</v>
      </c>
      <c r="R46" s="55" t="str">
        <f>'📂 Raw Data'!R46</f>
        <v>Resigned</v>
      </c>
    </row>
    <row r="47" spans="1:18" ht="18" customHeight="1">
      <c r="A47" s="54" t="str">
        <f>'📂 Raw Data'!A47</f>
        <v>EMP1045</v>
      </c>
      <c r="B47" s="16" t="str">
        <f>PROPER(TRIM('📂 Raw Data'!B47))</f>
        <v>Geeta Lal</v>
      </c>
      <c r="C47" s="16">
        <f>'📂 Raw Data'!C47</f>
        <v>38</v>
      </c>
      <c r="D47" s="16" t="str">
        <f>IF(OR('📂 Raw Data'!D47="M",'📂 Raw Data'!D47="m"),"Male",IF(OR('📂 Raw Data'!D47="F",'📂 Raw Data'!D47="f"),"Female",PROPER('📂 Raw Data'!D47)))</f>
        <v>Male</v>
      </c>
      <c r="E47" s="17" t="str">
        <f>UPPER(TRIM('📂 Raw Data'!E47))</f>
        <v>HR</v>
      </c>
      <c r="F47" s="16" t="str">
        <f>PROPER(TRIM('📂 Raw Data'!F47))</f>
        <v>Training Coordinator</v>
      </c>
      <c r="G47" s="16" t="str">
        <f>IFERROR(IF(ISNUMBER('📂 Raw Data'!G47),TEXT('📂 Raw Data'!G47,"DD-MMM-YYYY"),TEXT(DATEVALUE('📂 Raw Data'!G47),"DD-MMM-YYYY")),"Invalid Date")</f>
        <v>20-Oct-2019</v>
      </c>
      <c r="H47" s="16" t="str">
        <f>PROPER(TRIM('📂 Raw Data'!H47))</f>
        <v>Pune</v>
      </c>
      <c r="I47" s="18">
        <f>IFERROR(IF(ISNUMBER('📂 Raw Data'!I47),ABS('📂 Raw Data'!I47),0),0)</f>
        <v>32894</v>
      </c>
      <c r="J47" s="18">
        <f>IFERROR(ABS('📂 Raw Data'!J47),0)</f>
        <v>13879</v>
      </c>
      <c r="K47" s="18">
        <f>IFERROR(ABS('📂 Raw Data'!K47),0)</f>
        <v>14125</v>
      </c>
      <c r="L47" s="18">
        <f>IFERROR(ABS('📂 Raw Data'!L47),0)</f>
        <v>812</v>
      </c>
      <c r="M47" s="18">
        <f>IFERROR(ABS('📂 Raw Data'!M47),0)</f>
        <v>7248</v>
      </c>
      <c r="N47" s="18">
        <f t="shared" si="0"/>
        <v>68958</v>
      </c>
      <c r="O47" s="16">
        <f>IFERROR(ABS('📂 Raw Data'!O47),0)</f>
        <v>18</v>
      </c>
      <c r="P47" s="16">
        <v>80</v>
      </c>
      <c r="Q47" s="19" t="str">
        <f>'📂 Raw Data'!Q47</f>
        <v>Good</v>
      </c>
      <c r="R47" s="55" t="str">
        <f>'📂 Raw Data'!R47</f>
        <v>Active</v>
      </c>
    </row>
    <row r="48" spans="1:18" ht="18" customHeight="1">
      <c r="A48" s="54" t="str">
        <f>'📂 Raw Data'!A48</f>
        <v>EMP1046</v>
      </c>
      <c r="B48" s="16" t="str">
        <f>PROPER(TRIM('📂 Raw Data'!B48))</f>
        <v>Divya Bahl</v>
      </c>
      <c r="C48" s="16">
        <f>'📂 Raw Data'!C48</f>
        <v>51</v>
      </c>
      <c r="D48" s="16" t="str">
        <f>IF(OR('📂 Raw Data'!D48="M",'📂 Raw Data'!D48="m"),"Male",IF(OR('📂 Raw Data'!D48="F",'📂 Raw Data'!D48="f"),"Female",PROPER('📂 Raw Data'!D48)))</f>
        <v>Female</v>
      </c>
      <c r="E48" s="17" t="str">
        <f>UPPER(TRIM('📂 Raw Data'!E48))</f>
        <v>MARKETING</v>
      </c>
      <c r="F48" s="16" t="str">
        <f>PROPER(TRIM('📂 Raw Data'!F48))</f>
        <v>Marketing Executive</v>
      </c>
      <c r="G48" s="16" t="str">
        <f>IFERROR(IF(ISNUMBER('📂 Raw Data'!G48),TEXT('📂 Raw Data'!G48,"DD-MMM-YYYY"),TEXT(DATEVALUE('📂 Raw Data'!G48),"DD-MMM-YYYY")),"Invalid Date")</f>
        <v>14-Jan-2017</v>
      </c>
      <c r="H48" s="16" t="str">
        <f>PROPER(TRIM('📂 Raw Data'!H48))</f>
        <v>Mumbai</v>
      </c>
      <c r="I48" s="18">
        <f>IFERROR(IF(ISNUMBER('📂 Raw Data'!I48),ABS('📂 Raw Data'!I48),0),0)</f>
        <v>84048</v>
      </c>
      <c r="J48" s="18">
        <f>IFERROR(ABS('📂 Raw Data'!J48),0)</f>
        <v>36802</v>
      </c>
      <c r="K48" s="18">
        <f>IFERROR(ABS('📂 Raw Data'!K48),0)</f>
        <v>9699</v>
      </c>
      <c r="L48" s="18">
        <f>IFERROR(ABS('📂 Raw Data'!L48),0)</f>
        <v>2385</v>
      </c>
      <c r="M48" s="18">
        <f>IFERROR(ABS('📂 Raw Data'!M48),0)</f>
        <v>1267</v>
      </c>
      <c r="N48" s="18">
        <f t="shared" si="0"/>
        <v>134201</v>
      </c>
      <c r="O48" s="16">
        <f>IFERROR(ABS('📂 Raw Data'!O48),0)</f>
        <v>18</v>
      </c>
      <c r="P48" s="20">
        <v>58</v>
      </c>
      <c r="Q48" s="19" t="str">
        <f>'📂 Raw Data'!Q48</f>
        <v>Poor</v>
      </c>
      <c r="R48" s="55" t="str">
        <f>'📂 Raw Data'!R48</f>
        <v>On Leave</v>
      </c>
    </row>
    <row r="49" spans="1:18" ht="18" customHeight="1">
      <c r="A49" s="54" t="str">
        <f>'📂 Raw Data'!A49</f>
        <v>EMP1047</v>
      </c>
      <c r="B49" s="16" t="str">
        <f>PROPER(TRIM('📂 Raw Data'!B49))</f>
        <v>Waqar Hassan</v>
      </c>
      <c r="C49" s="16">
        <f>'📂 Raw Data'!C49</f>
        <v>41</v>
      </c>
      <c r="D49" s="16" t="str">
        <f>IF(OR('📂 Raw Data'!D49="M",'📂 Raw Data'!D49="m"),"Male",IF(OR('📂 Raw Data'!D49="F",'📂 Raw Data'!D49="f"),"Female",PROPER('📂 Raw Data'!D49)))</f>
        <v>Male</v>
      </c>
      <c r="E49" s="17" t="str">
        <f>UPPER(TRIM('📂 Raw Data'!E49))</f>
        <v>OPERATIONS</v>
      </c>
      <c r="F49" s="16" t="str">
        <f>PROPER(TRIM('📂 Raw Data'!F49))</f>
        <v>Logistics Manager</v>
      </c>
      <c r="G49" s="16" t="str">
        <f>IFERROR(IF(ISNUMBER('📂 Raw Data'!G49),TEXT('📂 Raw Data'!G49,"DD-MMM-YYYY"),TEXT(DATEVALUE('📂 Raw Data'!G49),"DD-MMM-YYYY")),"Invalid Date")</f>
        <v>18-Feb-2021</v>
      </c>
      <c r="H49" s="16" t="str">
        <f>PROPER(TRIM('📂 Raw Data'!H49))</f>
        <v>Hyderabad</v>
      </c>
      <c r="I49" s="18">
        <f>IFERROR(IF(ISNUMBER('📂 Raw Data'!I49),ABS('📂 Raw Data'!I49),0),0)</f>
        <v>54466</v>
      </c>
      <c r="J49" s="18">
        <f>IFERROR(ABS('📂 Raw Data'!J49),0)</f>
        <v>23395</v>
      </c>
      <c r="K49" s="18">
        <f>IFERROR(ABS('📂 Raw Data'!K49),0)</f>
        <v>6352</v>
      </c>
      <c r="L49" s="18">
        <f>IFERROR(ABS('📂 Raw Data'!L49),0)</f>
        <v>6771</v>
      </c>
      <c r="M49" s="18">
        <f>IFERROR(ABS('📂 Raw Data'!M49),0)</f>
        <v>2165</v>
      </c>
      <c r="N49" s="18">
        <f t="shared" si="0"/>
        <v>93149</v>
      </c>
      <c r="O49" s="16">
        <f>IFERROR(ABS('📂 Raw Data'!O49),0)</f>
        <v>16</v>
      </c>
      <c r="P49" s="16">
        <v>43</v>
      </c>
      <c r="Q49" s="19" t="str">
        <f>'📂 Raw Data'!Q49</f>
        <v>Average</v>
      </c>
      <c r="R49" s="55" t="str">
        <f>'📂 Raw Data'!R49</f>
        <v>On Leave</v>
      </c>
    </row>
    <row r="50" spans="1:18" ht="18" customHeight="1">
      <c r="A50" s="54" t="str">
        <f>'📂 Raw Data'!A50</f>
        <v>EMP1048</v>
      </c>
      <c r="B50" s="16" t="str">
        <f>PROPER(TRIM('📂 Raw Data'!B50))</f>
        <v>Chetan Bhatia</v>
      </c>
      <c r="C50" s="16">
        <f>'📂 Raw Data'!C50</f>
        <v>24</v>
      </c>
      <c r="D50" s="16" t="str">
        <f>IF(OR('📂 Raw Data'!D50="M",'📂 Raw Data'!D50="m"),"Male",IF(OR('📂 Raw Data'!D50="F",'📂 Raw Data'!D50="f"),"Female",PROPER('📂 Raw Data'!D50)))</f>
        <v>Male</v>
      </c>
      <c r="E50" s="17" t="str">
        <f>UPPER(TRIM('📂 Raw Data'!E50))</f>
        <v>FINANCE</v>
      </c>
      <c r="F50" s="16" t="str">
        <f>PROPER(TRIM('📂 Raw Data'!F50))</f>
        <v>Accountant</v>
      </c>
      <c r="G50" s="16" t="str">
        <f>IFERROR(IF(ISNUMBER('📂 Raw Data'!G50),TEXT('📂 Raw Data'!G50,"DD-MMM-YYYY"),TEXT(DATEVALUE('📂 Raw Data'!G50),"DD-MMM-YYYY")),"Invalid Date")</f>
        <v>10-Dec-2022</v>
      </c>
      <c r="H50" s="16" t="str">
        <f>PROPER(TRIM('📂 Raw Data'!H50))</f>
        <v>Chennai</v>
      </c>
      <c r="I50" s="18">
        <f>IFERROR(IF(ISNUMBER('📂 Raw Data'!I50),ABS('📂 Raw Data'!I50),0),0)</f>
        <v>116715</v>
      </c>
      <c r="J50" s="18">
        <f>IFERROR(ABS('📂 Raw Data'!J50),0)</f>
        <v>44410</v>
      </c>
      <c r="K50" s="18">
        <f>IFERROR(ABS('📂 Raw Data'!K50),0)</f>
        <v>6460</v>
      </c>
      <c r="L50" s="18">
        <f>IFERROR(ABS('📂 Raw Data'!L50),0)</f>
        <v>4099</v>
      </c>
      <c r="M50" s="18">
        <f>IFERROR(ABS('📂 Raw Data'!M50),0)</f>
        <v>5423</v>
      </c>
      <c r="N50" s="18">
        <f t="shared" si="0"/>
        <v>177107</v>
      </c>
      <c r="O50" s="16">
        <f>IFERROR(ABS('📂 Raw Data'!O50),0)</f>
        <v>22</v>
      </c>
      <c r="P50" s="20">
        <v>68</v>
      </c>
      <c r="Q50" s="19" t="str">
        <f>'📂 Raw Data'!Q50</f>
        <v>Average</v>
      </c>
      <c r="R50" s="55" t="str">
        <f>'📂 Raw Data'!R50</f>
        <v>On Leave</v>
      </c>
    </row>
    <row r="51" spans="1:18" ht="18" customHeight="1">
      <c r="A51" s="54" t="str">
        <f>'📂 Raw Data'!A51</f>
        <v>EMP1049</v>
      </c>
      <c r="B51" s="16" t="str">
        <f>PROPER(TRIM('📂 Raw Data'!B51))</f>
        <v>Bina Kapoor</v>
      </c>
      <c r="C51" s="16">
        <f>'📂 Raw Data'!C51</f>
        <v>33</v>
      </c>
      <c r="D51" s="16" t="str">
        <f>IF(OR('📂 Raw Data'!D51="M",'📂 Raw Data'!D51="m"),"Male",IF(OR('📂 Raw Data'!D51="F",'📂 Raw Data'!D51="f"),"Female",PROPER('📂 Raw Data'!D51)))</f>
        <v>Male</v>
      </c>
      <c r="E51" s="17" t="str">
        <f>UPPER(TRIM('📂 Raw Data'!E51))</f>
        <v>ENGINEERING</v>
      </c>
      <c r="F51" s="16" t="str">
        <f>PROPER(TRIM('📂 Raw Data'!F51))</f>
        <v>Software Engineer</v>
      </c>
      <c r="G51" s="16" t="str">
        <f>IFERROR(IF(ISNUMBER('📂 Raw Data'!G51),TEXT('📂 Raw Data'!G51,"DD-MMM-YYYY"),TEXT(DATEVALUE('📂 Raw Data'!G51),"DD-MMM-YYYY")),"Invalid Date")</f>
        <v>27-Nov-2018</v>
      </c>
      <c r="H51" s="16" t="str">
        <f>PROPER(TRIM('📂 Raw Data'!H51))</f>
        <v>Chennai</v>
      </c>
      <c r="I51" s="18">
        <f>IFERROR(IF(ISNUMBER('📂 Raw Data'!I51),ABS('📂 Raw Data'!I51),0),0)</f>
        <v>100392</v>
      </c>
      <c r="J51" s="18">
        <f>IFERROR(ABS('📂 Raw Data'!J51),0)</f>
        <v>41906</v>
      </c>
      <c r="K51" s="18">
        <f>IFERROR(ABS('📂 Raw Data'!K51),0)</f>
        <v>2339</v>
      </c>
      <c r="L51" s="18">
        <f>IFERROR(ABS('📂 Raw Data'!L51),0)</f>
        <v>6264</v>
      </c>
      <c r="M51" s="18">
        <f>IFERROR(ABS('📂 Raw Data'!M51),0)</f>
        <v>6507</v>
      </c>
      <c r="N51" s="18">
        <f t="shared" si="0"/>
        <v>157408</v>
      </c>
      <c r="O51" s="16">
        <f>IFERROR(ABS('📂 Raw Data'!O51),0)</f>
        <v>19</v>
      </c>
      <c r="P51" s="16">
        <v>76</v>
      </c>
      <c r="Q51" s="19" t="str">
        <f>'📂 Raw Data'!Q51</f>
        <v>Average</v>
      </c>
      <c r="R51" s="55" t="str">
        <f>'📂 Raw Data'!R51</f>
        <v>Resigned</v>
      </c>
    </row>
    <row r="52" spans="1:18" ht="18" customHeight="1">
      <c r="A52" s="54" t="str">
        <f>'📂 Raw Data'!A52</f>
        <v>EMP1050</v>
      </c>
      <c r="B52" s="16" t="str">
        <f>PROPER(TRIM('📂 Raw Data'!B52))</f>
        <v>Vikas Subramaniam</v>
      </c>
      <c r="C52" s="16">
        <f>'📂 Raw Data'!C52</f>
        <v>53</v>
      </c>
      <c r="D52" s="16" t="str">
        <f>IF(OR('📂 Raw Data'!D52="M",'📂 Raw Data'!D52="m"),"Male",IF(OR('📂 Raw Data'!D52="F",'📂 Raw Data'!D52="f"),"Female",PROPER('📂 Raw Data'!D52)))</f>
        <v>Female</v>
      </c>
      <c r="E52" s="17" t="str">
        <f>UPPER(TRIM('📂 Raw Data'!E52))</f>
        <v>SALES</v>
      </c>
      <c r="F52" s="16" t="str">
        <f>PROPER(TRIM('📂 Raw Data'!F52))</f>
        <v>Business Dev</v>
      </c>
      <c r="G52" s="16" t="str">
        <f>IFERROR(IF(ISNUMBER('📂 Raw Data'!G52),TEXT('📂 Raw Data'!G52,"DD-MMM-YYYY"),TEXT(DATEVALUE('📂 Raw Data'!G52),"DD-MMM-YYYY")),"Invalid Date")</f>
        <v>16-Feb-2022</v>
      </c>
      <c r="H52" s="16" t="str">
        <f>PROPER(TRIM('📂 Raw Data'!H52))</f>
        <v>Bangalore</v>
      </c>
      <c r="I52" s="18">
        <f>IFERROR(IF(ISNUMBER('📂 Raw Data'!I52),ABS('📂 Raw Data'!I52),0),0)</f>
        <v>70607</v>
      </c>
      <c r="J52" s="18">
        <f>IFERROR(ABS('📂 Raw Data'!J52),0)</f>
        <v>26949</v>
      </c>
      <c r="K52" s="18">
        <f>IFERROR(ABS('📂 Raw Data'!K52),0)</f>
        <v>7260</v>
      </c>
      <c r="L52" s="18">
        <f>IFERROR(ABS('📂 Raw Data'!L52),0)</f>
        <v>5489</v>
      </c>
      <c r="M52" s="18">
        <f>IFERROR(ABS('📂 Raw Data'!M52),0)</f>
        <v>1856</v>
      </c>
      <c r="N52" s="18">
        <f t="shared" si="0"/>
        <v>112161</v>
      </c>
      <c r="O52" s="16">
        <f>IFERROR(ABS('📂 Raw Data'!O52),0)</f>
        <v>17</v>
      </c>
      <c r="P52" s="20">
        <v>61</v>
      </c>
      <c r="Q52" s="19" t="str">
        <f>'📂 Raw Data'!Q52</f>
        <v>Poor</v>
      </c>
      <c r="R52" s="55" t="str">
        <f>'📂 Raw Data'!R52</f>
        <v>On Leave</v>
      </c>
    </row>
    <row r="53" spans="1:18" ht="18" customHeight="1">
      <c r="A53" s="54" t="str">
        <f>'📂 Raw Data'!A53</f>
        <v>EMP1051</v>
      </c>
      <c r="B53" s="16" t="str">
        <f>PROPER(TRIM('📂 Raw Data'!B53))</f>
        <v>Jay Doshi</v>
      </c>
      <c r="C53" s="16">
        <f>'📂 Raw Data'!C53</f>
        <v>48</v>
      </c>
      <c r="D53" s="16" t="str">
        <f>IF(OR('📂 Raw Data'!D53="M",'📂 Raw Data'!D53="m"),"Male",IF(OR('📂 Raw Data'!D53="F",'📂 Raw Data'!D53="f"),"Female",PROPER('📂 Raw Data'!D53)))</f>
        <v>Female</v>
      </c>
      <c r="E53" s="17" t="str">
        <f>UPPER(TRIM('📂 Raw Data'!E53))</f>
        <v>ENGINEERING</v>
      </c>
      <c r="F53" s="16" t="str">
        <f>PROPER(TRIM('📂 Raw Data'!F53))</f>
        <v>Qa Engineer</v>
      </c>
      <c r="G53" s="16" t="str">
        <f>IFERROR(IF(ISNUMBER('📂 Raw Data'!G53),TEXT('📂 Raw Data'!G53,"DD-MMM-YYYY"),TEXT(DATEVALUE('📂 Raw Data'!G53),"DD-MMM-YYYY")),"Invalid Date")</f>
        <v>09-Jun-2016</v>
      </c>
      <c r="H53" s="16" t="str">
        <f>PROPER(TRIM('📂 Raw Data'!H53))</f>
        <v>Mumbai</v>
      </c>
      <c r="I53" s="18">
        <f>IFERROR(IF(ISNUMBER('📂 Raw Data'!I53),ABS('📂 Raw Data'!I53),0),0)</f>
        <v>0</v>
      </c>
      <c r="J53" s="18">
        <f>IFERROR(ABS('📂 Raw Data'!J53),0)</f>
        <v>21774</v>
      </c>
      <c r="K53" s="18">
        <f>IFERROR(ABS('📂 Raw Data'!K53),0)</f>
        <v>14657</v>
      </c>
      <c r="L53" s="18">
        <f>IFERROR(ABS('📂 Raw Data'!L53),0)</f>
        <v>3311</v>
      </c>
      <c r="M53" s="18">
        <f>IFERROR(ABS('📂 Raw Data'!M53),0)</f>
        <v>5215</v>
      </c>
      <c r="N53" s="18">
        <f t="shared" si="0"/>
        <v>44957</v>
      </c>
      <c r="O53" s="16">
        <f>IFERROR(ABS('📂 Raw Data'!O53),0)</f>
        <v>15</v>
      </c>
      <c r="P53" s="16">
        <v>82</v>
      </c>
      <c r="Q53" s="19" t="str">
        <f>'📂 Raw Data'!Q53</f>
        <v>Poor</v>
      </c>
      <c r="R53" s="55" t="str">
        <f>'📂 Raw Data'!R53</f>
        <v>Active</v>
      </c>
    </row>
    <row r="54" spans="1:18" ht="18" customHeight="1">
      <c r="A54" s="54" t="str">
        <f>'📂 Raw Data'!A54</f>
        <v>EMP1052</v>
      </c>
      <c r="B54" s="16" t="str">
        <f>PROPER(TRIM('📂 Raw Data'!B54))</f>
        <v>Arjun Chawla</v>
      </c>
      <c r="C54" s="16">
        <f>'📂 Raw Data'!C54</f>
        <v>37</v>
      </c>
      <c r="D54" s="16" t="str">
        <f>IF(OR('📂 Raw Data'!D54="M",'📂 Raw Data'!D54="m"),"Male",IF(OR('📂 Raw Data'!D54="F",'📂 Raw Data'!D54="f"),"Female",PROPER('📂 Raw Data'!D54)))</f>
        <v>Male</v>
      </c>
      <c r="E54" s="17" t="str">
        <f>UPPER(TRIM('📂 Raw Data'!E54))</f>
        <v>FINANCE</v>
      </c>
      <c r="F54" s="16" t="str">
        <f>PROPER(TRIM('📂 Raw Data'!F54))</f>
        <v>Auditor</v>
      </c>
      <c r="G54" s="16" t="str">
        <f>IFERROR(IF(ISNUMBER('📂 Raw Data'!G54),TEXT('📂 Raw Data'!G54,"DD-MMM-YYYY"),TEXT(DATEVALUE('📂 Raw Data'!G54),"DD-MMM-YYYY")),"Invalid Date")</f>
        <v>09-Apr-2015</v>
      </c>
      <c r="H54" s="16" t="str">
        <f>PROPER(TRIM('📂 Raw Data'!H54))</f>
        <v>Pune</v>
      </c>
      <c r="I54" s="18">
        <f>IFERROR(IF(ISNUMBER('📂 Raw Data'!I54),ABS('📂 Raw Data'!I54),0),0)</f>
        <v>96987</v>
      </c>
      <c r="J54" s="18">
        <f>IFERROR(ABS('📂 Raw Data'!J54),0)</f>
        <v>31637</v>
      </c>
      <c r="K54" s="18">
        <f>IFERROR(ABS('📂 Raw Data'!K54),0)</f>
        <v>6719</v>
      </c>
      <c r="L54" s="18">
        <f>IFERROR(ABS('📂 Raw Data'!L54),0)</f>
        <v>3589</v>
      </c>
      <c r="M54" s="18">
        <f>IFERROR(ABS('📂 Raw Data'!M54),0)</f>
        <v>6720</v>
      </c>
      <c r="N54" s="18">
        <f t="shared" si="0"/>
        <v>145652</v>
      </c>
      <c r="O54" s="16">
        <f>IFERROR(ABS('📂 Raw Data'!O54),0)</f>
        <v>22</v>
      </c>
      <c r="P54" s="20">
        <v>47</v>
      </c>
      <c r="Q54" s="19" t="str">
        <f>'📂 Raw Data'!Q54</f>
        <v>Excellent</v>
      </c>
      <c r="R54" s="55" t="str">
        <f>'📂 Raw Data'!R54</f>
        <v>Active</v>
      </c>
    </row>
    <row r="55" spans="1:18" ht="18" customHeight="1">
      <c r="A55" s="54" t="str">
        <f>'📂 Raw Data'!A55</f>
        <v>EMP1053</v>
      </c>
      <c r="B55" s="16" t="str">
        <f>PROPER(TRIM('📂 Raw Data'!B55))</f>
        <v>Aarav Tiwari</v>
      </c>
      <c r="C55" s="16">
        <f>'📂 Raw Data'!C55</f>
        <v>54</v>
      </c>
      <c r="D55" s="16" t="str">
        <f>IF(OR('📂 Raw Data'!D55="M",'📂 Raw Data'!D55="m"),"Male",IF(OR('📂 Raw Data'!D55="F",'📂 Raw Data'!D55="f"),"Female",PROPER('📂 Raw Data'!D55)))</f>
        <v>Female</v>
      </c>
      <c r="E55" s="17" t="str">
        <f>UPPER(TRIM('📂 Raw Data'!E55))</f>
        <v>MARKETING</v>
      </c>
      <c r="F55" s="16" t="str">
        <f>PROPER(TRIM('📂 Raw Data'!F55))</f>
        <v>Brand Manager</v>
      </c>
      <c r="G55" s="16" t="str">
        <f>IFERROR(IF(ISNUMBER('📂 Raw Data'!G55),TEXT('📂 Raw Data'!G55,"DD-MMM-YYYY"),TEXT(DATEVALUE('📂 Raw Data'!G55),"DD-MMM-YYYY")),"Invalid Date")</f>
        <v>27-Apr-2016</v>
      </c>
      <c r="H55" s="16" t="str">
        <f>PROPER(TRIM('📂 Raw Data'!H55))</f>
        <v>Pune</v>
      </c>
      <c r="I55" s="18">
        <f>IFERROR(IF(ISNUMBER('📂 Raw Data'!I55),ABS('📂 Raw Data'!I55),0),0)</f>
        <v>39871</v>
      </c>
      <c r="J55" s="18">
        <f>IFERROR(ABS('📂 Raw Data'!J55),0)</f>
        <v>15641</v>
      </c>
      <c r="K55" s="18">
        <f>IFERROR(ABS('📂 Raw Data'!K55),0)</f>
        <v>3924</v>
      </c>
      <c r="L55" s="18">
        <f>IFERROR(ABS('📂 Raw Data'!L55),0)</f>
        <v>5306</v>
      </c>
      <c r="M55" s="18">
        <f>IFERROR(ABS('📂 Raw Data'!M55),0)</f>
        <v>7816</v>
      </c>
      <c r="N55" s="18">
        <f t="shared" si="0"/>
        <v>72558</v>
      </c>
      <c r="O55" s="16">
        <f>IFERROR(ABS('📂 Raw Data'!O55),0)</f>
        <v>17</v>
      </c>
      <c r="P55" s="16">
        <v>71</v>
      </c>
      <c r="Q55" s="19" t="str">
        <f>'📂 Raw Data'!Q55</f>
        <v>Below Average</v>
      </c>
      <c r="R55" s="55" t="str">
        <f>'📂 Raw Data'!R55</f>
        <v>Active</v>
      </c>
    </row>
    <row r="56" spans="1:18" ht="18" customHeight="1">
      <c r="A56" s="54" t="str">
        <f>'📂 Raw Data'!A56</f>
        <v>EMP1054</v>
      </c>
      <c r="B56" s="16" t="str">
        <f>PROPER(TRIM('📂 Raw Data'!B56))</f>
        <v>Shreya Subramaniam</v>
      </c>
      <c r="C56" s="16">
        <f>'📂 Raw Data'!C56</f>
        <v>43</v>
      </c>
      <c r="D56" s="16" t="str">
        <f>IF(OR('📂 Raw Data'!D56="M",'📂 Raw Data'!D56="m"),"Male",IF(OR('📂 Raw Data'!D56="F",'📂 Raw Data'!D56="f"),"Female",PROPER('📂 Raw Data'!D56)))</f>
        <v>Female</v>
      </c>
      <c r="E56" s="17" t="str">
        <f>UPPER(TRIM('📂 Raw Data'!E56))</f>
        <v>SALES</v>
      </c>
      <c r="F56" s="16" t="str">
        <f>PROPER(TRIM('📂 Raw Data'!F56))</f>
        <v>Business Dev</v>
      </c>
      <c r="G56" s="16" t="str">
        <f>IFERROR(IF(ISNUMBER('📂 Raw Data'!G56),TEXT('📂 Raw Data'!G56,"DD-MMM-YYYY"),TEXT(DATEVALUE('📂 Raw Data'!G56),"DD-MMM-YYYY")),"Invalid Date")</f>
        <v>13-Mar-2023</v>
      </c>
      <c r="H56" s="16" t="str">
        <f>PROPER(TRIM('📂 Raw Data'!H56))</f>
        <v>Kolkata</v>
      </c>
      <c r="I56" s="18">
        <f>IFERROR(IF(ISNUMBER('📂 Raw Data'!I56),ABS('📂 Raw Data'!I56),0),0)</f>
        <v>49983</v>
      </c>
      <c r="J56" s="18">
        <f>IFERROR(ABS('📂 Raw Data'!J56),0)</f>
        <v>24210</v>
      </c>
      <c r="K56" s="18">
        <f>IFERROR(ABS('📂 Raw Data'!K56),0)</f>
        <v>10327</v>
      </c>
      <c r="L56" s="18">
        <f>IFERROR(ABS('📂 Raw Data'!L56),0)</f>
        <v>6113</v>
      </c>
      <c r="M56" s="18">
        <f>IFERROR(ABS('📂 Raw Data'!M56),0)</f>
        <v>2118</v>
      </c>
      <c r="N56" s="18">
        <f t="shared" si="0"/>
        <v>92751</v>
      </c>
      <c r="O56" s="16">
        <f>IFERROR(ABS('📂 Raw Data'!O56),0)</f>
        <v>16</v>
      </c>
      <c r="P56" s="20">
        <v>57</v>
      </c>
      <c r="Q56" s="19" t="str">
        <f>'📂 Raw Data'!Q56</f>
        <v>Excellent</v>
      </c>
      <c r="R56" s="55" t="str">
        <f>'📂 Raw Data'!R56</f>
        <v>Resigned</v>
      </c>
    </row>
    <row r="57" spans="1:18" ht="18" customHeight="1">
      <c r="A57" s="54" t="str">
        <f>'📂 Raw Data'!A57</f>
        <v>EMP1055</v>
      </c>
      <c r="B57" s="16" t="str">
        <f>PROPER(TRIM('📂 Raw Data'!B57))</f>
        <v>Jyoti Lal</v>
      </c>
      <c r="C57" s="16">
        <f>'📂 Raw Data'!C57</f>
        <v>42</v>
      </c>
      <c r="D57" s="16" t="str">
        <f>IF(OR('📂 Raw Data'!D57="M",'📂 Raw Data'!D57="m"),"Male",IF(OR('📂 Raw Data'!D57="F",'📂 Raw Data'!D57="f"),"Female",PROPER('📂 Raw Data'!D57)))</f>
        <v>Female</v>
      </c>
      <c r="E57" s="17" t="str">
        <f>UPPER(TRIM('📂 Raw Data'!E57))</f>
        <v>HR</v>
      </c>
      <c r="F57" s="16" t="str">
        <f>PROPER(TRIM('📂 Raw Data'!F57))</f>
        <v>Recruiter</v>
      </c>
      <c r="G57" s="16" t="str">
        <f>IFERROR(IF(ISNUMBER('📂 Raw Data'!G57),TEXT('📂 Raw Data'!G57,"DD-MMM-YYYY"),TEXT(DATEVALUE('📂 Raw Data'!G57),"DD-MMM-YYYY")),"Invalid Date")</f>
        <v>15-Mar-2022</v>
      </c>
      <c r="H57" s="16" t="str">
        <f>PROPER(TRIM('📂 Raw Data'!H57))</f>
        <v>Kolkata</v>
      </c>
      <c r="I57" s="18">
        <f>IFERROR(IF(ISNUMBER('📂 Raw Data'!I57),ABS('📂 Raw Data'!I57),0),0)</f>
        <v>95592</v>
      </c>
      <c r="J57" s="18">
        <f>IFERROR(ABS('📂 Raw Data'!J57),0)</f>
        <v>37937</v>
      </c>
      <c r="K57" s="18">
        <f>IFERROR(ABS('📂 Raw Data'!K57),0)</f>
        <v>7446</v>
      </c>
      <c r="L57" s="18">
        <f>IFERROR(ABS('📂 Raw Data'!L57),0)</f>
        <v>4521</v>
      </c>
      <c r="M57" s="18">
        <f>IFERROR(ABS('📂 Raw Data'!M57),0)</f>
        <v>7249</v>
      </c>
      <c r="N57" s="18">
        <f t="shared" si="0"/>
        <v>152745</v>
      </c>
      <c r="O57" s="16">
        <f>IFERROR(ABS('📂 Raw Data'!O57),0)</f>
        <v>23</v>
      </c>
      <c r="P57" s="16">
        <v>64</v>
      </c>
      <c r="Q57" s="19" t="str">
        <f>'📂 Raw Data'!Q57</f>
        <v>Poor</v>
      </c>
      <c r="R57" s="55" t="str">
        <f>'📂 Raw Data'!R57</f>
        <v>Active</v>
      </c>
    </row>
    <row r="58" spans="1:18" ht="18" customHeight="1">
      <c r="A58" s="54" t="str">
        <f>'📂 Raw Data'!A58</f>
        <v>EMP1056</v>
      </c>
      <c r="B58" s="16" t="str">
        <f>PROPER(TRIM('📂 Raw Data'!B58))</f>
        <v>Kavita Pillai</v>
      </c>
      <c r="C58" s="16">
        <f>'📂 Raw Data'!C58</f>
        <v>24</v>
      </c>
      <c r="D58" s="16" t="str">
        <f>IF(OR('📂 Raw Data'!D58="M",'📂 Raw Data'!D58="m"),"Male",IF(OR('📂 Raw Data'!D58="F",'📂 Raw Data'!D58="f"),"Female",PROPER('📂 Raw Data'!D58)))</f>
        <v>Female</v>
      </c>
      <c r="E58" s="17" t="str">
        <f>UPPER(TRIM('📂 Raw Data'!E58))</f>
        <v>FINANCE</v>
      </c>
      <c r="F58" s="16" t="str">
        <f>PROPER(TRIM('📂 Raw Data'!F58))</f>
        <v>Senior Accountant</v>
      </c>
      <c r="G58" s="16" t="str">
        <f>IFERROR(IF(ISNUMBER('📂 Raw Data'!G58),TEXT('📂 Raw Data'!G58,"DD-MMM-YYYY"),TEXT(DATEVALUE('📂 Raw Data'!G58),"DD-MMM-YYYY")),"Invalid Date")</f>
        <v>11-Jan-2021</v>
      </c>
      <c r="H58" s="16" t="str">
        <f>PROPER(TRIM('📂 Raw Data'!H58))</f>
        <v>Delhi</v>
      </c>
      <c r="I58" s="18">
        <f>IFERROR(IF(ISNUMBER('📂 Raw Data'!I58),ABS('📂 Raw Data'!I58),0),0)</f>
        <v>86993</v>
      </c>
      <c r="J58" s="18">
        <f>IFERROR(ABS('📂 Raw Data'!J58),0)</f>
        <v>38368</v>
      </c>
      <c r="K58" s="18">
        <f>IFERROR(ABS('📂 Raw Data'!K58),0)</f>
        <v>8246</v>
      </c>
      <c r="L58" s="18">
        <f>IFERROR(ABS('📂 Raw Data'!L58),0)</f>
        <v>3162</v>
      </c>
      <c r="M58" s="18">
        <f>IFERROR(ABS('📂 Raw Data'!M58),0)</f>
        <v>6436</v>
      </c>
      <c r="N58" s="18">
        <f t="shared" si="0"/>
        <v>143205</v>
      </c>
      <c r="O58" s="16">
        <f>IFERROR(ABS('📂 Raw Data'!O58),0)</f>
        <v>25</v>
      </c>
      <c r="P58" s="20">
        <v>49</v>
      </c>
      <c r="Q58" s="19" t="str">
        <f>'📂 Raw Data'!Q58</f>
        <v>Excellent</v>
      </c>
      <c r="R58" s="55" t="str">
        <f>'📂 Raw Data'!R58</f>
        <v>Resigned</v>
      </c>
    </row>
    <row r="59" spans="1:18" ht="18" customHeight="1">
      <c r="A59" s="54" t="str">
        <f>'📂 Raw Data'!A59</f>
        <v>EMP1057</v>
      </c>
      <c r="B59" s="16" t="str">
        <f>PROPER(TRIM('📂 Raw Data'!B59))</f>
        <v>Vikas Mehta</v>
      </c>
      <c r="C59" s="16">
        <f>'📂 Raw Data'!C59</f>
        <v>43</v>
      </c>
      <c r="D59" s="16" t="str">
        <f>IF(OR('📂 Raw Data'!D59="M",'📂 Raw Data'!D59="m"),"Male",IF(OR('📂 Raw Data'!D59="F",'📂 Raw Data'!D59="f"),"Female",PROPER('📂 Raw Data'!D59)))</f>
        <v>Female</v>
      </c>
      <c r="E59" s="17" t="str">
        <f>UPPER(TRIM('📂 Raw Data'!E59))</f>
        <v>FINANCE</v>
      </c>
      <c r="F59" s="16" t="str">
        <f>PROPER(TRIM('📂 Raw Data'!F59))</f>
        <v>Accountant</v>
      </c>
      <c r="G59" s="16" t="str">
        <f>IFERROR(IF(ISNUMBER('📂 Raw Data'!G59),TEXT('📂 Raw Data'!G59,"DD-MMM-YYYY"),TEXT(DATEVALUE('📂 Raw Data'!G59),"DD-MMM-YYYY")),"Invalid Date")</f>
        <v>01-Aug-2023</v>
      </c>
      <c r="H59" s="16" t="str">
        <f>PROPER(TRIM('📂 Raw Data'!H59))</f>
        <v>Hyderabad</v>
      </c>
      <c r="I59" s="18">
        <f>IFERROR(IF(ISNUMBER('📂 Raw Data'!I59),ABS('📂 Raw Data'!I59),0),0)</f>
        <v>119692</v>
      </c>
      <c r="J59" s="18">
        <f>IFERROR(ABS('📂 Raw Data'!J59),0)</f>
        <v>39358</v>
      </c>
      <c r="K59" s="18">
        <f>IFERROR(ABS('📂 Raw Data'!K59),0)</f>
        <v>12727</v>
      </c>
      <c r="L59" s="18">
        <f>IFERROR(ABS('📂 Raw Data'!L59),0)</f>
        <v>7945</v>
      </c>
      <c r="M59" s="18">
        <f>IFERROR(ABS('📂 Raw Data'!M59),0)</f>
        <v>2264</v>
      </c>
      <c r="N59" s="18">
        <f t="shared" si="0"/>
        <v>181986</v>
      </c>
      <c r="O59" s="16">
        <f>IFERROR(ABS('📂 Raw Data'!O59),0)</f>
        <v>16</v>
      </c>
      <c r="P59" s="16">
        <v>70</v>
      </c>
      <c r="Q59" s="19" t="str">
        <f>'📂 Raw Data'!Q59</f>
        <v>Excellent</v>
      </c>
      <c r="R59" s="55" t="str">
        <f>'📂 Raw Data'!R59</f>
        <v>On Leave</v>
      </c>
    </row>
    <row r="60" spans="1:18" ht="18" customHeight="1">
      <c r="A60" s="54" t="str">
        <f>'📂 Raw Data'!A60</f>
        <v>EMP1058</v>
      </c>
      <c r="B60" s="16" t="str">
        <f>PROPER(TRIM('📂 Raw Data'!B60))</f>
        <v>Zara Chopra</v>
      </c>
      <c r="C60" s="16">
        <f>'📂 Raw Data'!C60</f>
        <v>36</v>
      </c>
      <c r="D60" s="16" t="str">
        <f>IF(OR('📂 Raw Data'!D60="M",'📂 Raw Data'!D60="m"),"Male",IF(OR('📂 Raw Data'!D60="F",'📂 Raw Data'!D60="f"),"Female",PROPER('📂 Raw Data'!D60)))</f>
        <v>Female</v>
      </c>
      <c r="E60" s="17" t="str">
        <f>UPPER(TRIM('📂 Raw Data'!E60))</f>
        <v>HR</v>
      </c>
      <c r="F60" s="16" t="str">
        <f>PROPER(TRIM('📂 Raw Data'!F60))</f>
        <v>Training Coordinator</v>
      </c>
      <c r="G60" s="16" t="str">
        <f>IFERROR(IF(ISNUMBER('📂 Raw Data'!G60),TEXT('📂 Raw Data'!G60,"DD-MMM-YYYY"),TEXT(DATEVALUE('📂 Raw Data'!G60),"DD-MMM-YYYY")),"Invalid Date")</f>
        <v>23-Nov-2020</v>
      </c>
      <c r="H60" s="16" t="str">
        <f>PROPER(TRIM('📂 Raw Data'!H60))</f>
        <v>Pune</v>
      </c>
      <c r="I60" s="18">
        <f>IFERROR(IF(ISNUMBER('📂 Raw Data'!I60),ABS('📂 Raw Data'!I60),0),0)</f>
        <v>88956</v>
      </c>
      <c r="J60" s="18">
        <f>IFERROR(ABS('📂 Raw Data'!J60),0)</f>
        <v>42208</v>
      </c>
      <c r="K60" s="18">
        <f>IFERROR(ABS('📂 Raw Data'!K60),0)</f>
        <v>2588</v>
      </c>
      <c r="L60" s="18">
        <f>IFERROR(ABS('📂 Raw Data'!L60),0)</f>
        <v>5058</v>
      </c>
      <c r="M60" s="18">
        <f>IFERROR(ABS('📂 Raw Data'!M60),0)</f>
        <v>1560</v>
      </c>
      <c r="N60" s="18">
        <f t="shared" si="0"/>
        <v>140370</v>
      </c>
      <c r="O60" s="16">
        <f>IFERROR(ABS('📂 Raw Data'!O60),0)</f>
        <v>18</v>
      </c>
      <c r="P60" s="20">
        <v>80</v>
      </c>
      <c r="Q60" s="19" t="str">
        <f>'📂 Raw Data'!Q60</f>
        <v>Excellent</v>
      </c>
      <c r="R60" s="55" t="str">
        <f>'📂 Raw Data'!R60</f>
        <v>Active</v>
      </c>
    </row>
    <row r="61" spans="1:18" ht="18" customHeight="1">
      <c r="A61" s="54" t="str">
        <f>'📂 Raw Data'!A61</f>
        <v>EMP1059</v>
      </c>
      <c r="B61" s="16" t="str">
        <f>PROPER(TRIM('📂 Raw Data'!B61))</f>
        <v>Bhavna Agarwal</v>
      </c>
      <c r="C61" s="16">
        <f>'📂 Raw Data'!C61</f>
        <v>55</v>
      </c>
      <c r="D61" s="16" t="str">
        <f>IF(OR('📂 Raw Data'!D61="M",'📂 Raw Data'!D61="m"),"Male",IF(OR('📂 Raw Data'!D61="F",'📂 Raw Data'!D61="f"),"Female",PROPER('📂 Raw Data'!D61)))</f>
        <v>Male</v>
      </c>
      <c r="E61" s="17" t="str">
        <f>UPPER(TRIM('📂 Raw Data'!E61))</f>
        <v>FINANCE</v>
      </c>
      <c r="F61" s="16" t="str">
        <f>PROPER(TRIM('📂 Raw Data'!F61))</f>
        <v>Senior Accountant</v>
      </c>
      <c r="G61" s="16" t="str">
        <f>IFERROR(IF(ISNUMBER('📂 Raw Data'!G61),TEXT('📂 Raw Data'!G61,"DD-MMM-YYYY"),TEXT(DATEVALUE('📂 Raw Data'!G61),"DD-MMM-YYYY")),"Invalid Date")</f>
        <v>02-Jan-2019</v>
      </c>
      <c r="H61" s="16" t="str">
        <f>PROPER(TRIM('📂 Raw Data'!H61))</f>
        <v>Chennai</v>
      </c>
      <c r="I61" s="18">
        <f>IFERROR(IF(ISNUMBER('📂 Raw Data'!I61),ABS('📂 Raw Data'!I61),0),0)</f>
        <v>67516</v>
      </c>
      <c r="J61" s="18">
        <f>IFERROR(ABS('📂 Raw Data'!J61),0)</f>
        <v>31005</v>
      </c>
      <c r="K61" s="18">
        <f>IFERROR(ABS('📂 Raw Data'!K61),0)</f>
        <v>6806</v>
      </c>
      <c r="L61" s="18">
        <f>IFERROR(ABS('📂 Raw Data'!L61),0)</f>
        <v>2936</v>
      </c>
      <c r="M61" s="18">
        <f>IFERROR(ABS('📂 Raw Data'!M61),0)</f>
        <v>4070</v>
      </c>
      <c r="N61" s="18">
        <f t="shared" si="0"/>
        <v>112333</v>
      </c>
      <c r="O61" s="16">
        <f>IFERROR(ABS('📂 Raw Data'!O61),0)</f>
        <v>21</v>
      </c>
      <c r="P61" s="16">
        <v>49</v>
      </c>
      <c r="Q61" s="19" t="str">
        <f>'📂 Raw Data'!Q61</f>
        <v>Good</v>
      </c>
      <c r="R61" s="55" t="str">
        <f>'📂 Raw Data'!R61</f>
        <v>Resigned</v>
      </c>
    </row>
    <row r="62" spans="1:18" ht="18" customHeight="1">
      <c r="A62" s="54" t="str">
        <f>'📂 Raw Data'!A62</f>
        <v>EMP1060</v>
      </c>
      <c r="B62" s="16" t="str">
        <f>PROPER(TRIM('📂 Raw Data'!B62))</f>
        <v>Manish Walia</v>
      </c>
      <c r="C62" s="16">
        <f>'📂 Raw Data'!C62</f>
        <v>38</v>
      </c>
      <c r="D62" s="16" t="str">
        <f>IF(OR('📂 Raw Data'!D62="M",'📂 Raw Data'!D62="m"),"Male",IF(OR('📂 Raw Data'!D62="F",'📂 Raw Data'!D62="f"),"Female",PROPER('📂 Raw Data'!D62)))</f>
        <v>Female</v>
      </c>
      <c r="E62" s="17" t="str">
        <f>UPPER(TRIM('📂 Raw Data'!E62))</f>
        <v>SALES</v>
      </c>
      <c r="F62" s="16" t="str">
        <f>PROPER(TRIM('📂 Raw Data'!F62))</f>
        <v>Senior Sales</v>
      </c>
      <c r="G62" s="16" t="str">
        <f>IFERROR(IF(ISNUMBER('📂 Raw Data'!G62),TEXT('📂 Raw Data'!G62,"DD-MMM-YYYY"),TEXT(DATEVALUE('📂 Raw Data'!G62),"DD-MMM-YYYY")),"Invalid Date")</f>
        <v>28-Oct-2016</v>
      </c>
      <c r="H62" s="16" t="str">
        <f>PROPER(TRIM('📂 Raw Data'!H62))</f>
        <v>Chennai</v>
      </c>
      <c r="I62" s="18">
        <f>IFERROR(IF(ISNUMBER('📂 Raw Data'!I62),ABS('📂 Raw Data'!I62),0),0)</f>
        <v>75140</v>
      </c>
      <c r="J62" s="18">
        <f>IFERROR(ABS('📂 Raw Data'!J62),0)</f>
        <v>31855</v>
      </c>
      <c r="K62" s="18">
        <f>IFERROR(ABS('📂 Raw Data'!K62),0)</f>
        <v>5945</v>
      </c>
      <c r="L62" s="18">
        <f>IFERROR(ABS('📂 Raw Data'!L62),0)</f>
        <v>4076</v>
      </c>
      <c r="M62" s="18">
        <f>IFERROR(ABS('📂 Raw Data'!M62),0)</f>
        <v>5777</v>
      </c>
      <c r="N62" s="18">
        <f t="shared" si="0"/>
        <v>122793</v>
      </c>
      <c r="O62" s="16">
        <f>IFERROR(ABS('📂 Raw Data'!O62),0)</f>
        <v>17</v>
      </c>
      <c r="P62" s="20">
        <v>54</v>
      </c>
      <c r="Q62" s="19" t="str">
        <f>'📂 Raw Data'!Q62</f>
        <v>Below Average</v>
      </c>
      <c r="R62" s="55" t="str">
        <f>'📂 Raw Data'!R62</f>
        <v>Active</v>
      </c>
    </row>
    <row r="63" spans="1:18" ht="18" customHeight="1">
      <c r="A63" s="54" t="str">
        <f>'📂 Raw Data'!A63</f>
        <v>EMP1061</v>
      </c>
      <c r="B63" s="16" t="str">
        <f>PROPER(TRIM('📂 Raw Data'!B63))</f>
        <v>Akash Lal</v>
      </c>
      <c r="C63" s="16">
        <f>'📂 Raw Data'!C63</f>
        <v>34</v>
      </c>
      <c r="D63" s="16" t="str">
        <f>IF(OR('📂 Raw Data'!D63="M",'📂 Raw Data'!D63="m"),"Male",IF(OR('📂 Raw Data'!D63="F",'📂 Raw Data'!D63="f"),"Female",PROPER('📂 Raw Data'!D63)))</f>
        <v>Female</v>
      </c>
      <c r="E63" s="17" t="str">
        <f>UPPER(TRIM('📂 Raw Data'!E63))</f>
        <v>HR</v>
      </c>
      <c r="F63" s="16" t="str">
        <f>PROPER(TRIM('📂 Raw Data'!F63))</f>
        <v>Hr Manager</v>
      </c>
      <c r="G63" s="16" t="str">
        <f>IFERROR(IF(ISNUMBER('📂 Raw Data'!G63),TEXT('📂 Raw Data'!G63,"DD-MMM-YYYY"),TEXT(DATEVALUE('📂 Raw Data'!G63),"DD-MMM-YYYY")),"Invalid Date")</f>
        <v>08-Jan-2016</v>
      </c>
      <c r="H63" s="16" t="str">
        <f>PROPER(TRIM('📂 Raw Data'!H63))</f>
        <v>Chennai</v>
      </c>
      <c r="I63" s="18">
        <f>IFERROR(IF(ISNUMBER('📂 Raw Data'!I63),ABS('📂 Raw Data'!I63),0),0)</f>
        <v>102014</v>
      </c>
      <c r="J63" s="18">
        <f>IFERROR(ABS('📂 Raw Data'!J63),0)</f>
        <v>36708</v>
      </c>
      <c r="K63" s="18">
        <f>IFERROR(ABS('📂 Raw Data'!K63),0)</f>
        <v>8951</v>
      </c>
      <c r="L63" s="18">
        <f>IFERROR(ABS('📂 Raw Data'!L63),0)</f>
        <v>5655</v>
      </c>
      <c r="M63" s="18">
        <f>IFERROR(ABS('📂 Raw Data'!M63),0)</f>
        <v>3048</v>
      </c>
      <c r="N63" s="18">
        <f t="shared" si="0"/>
        <v>156376</v>
      </c>
      <c r="O63" s="16">
        <f>IFERROR(ABS('📂 Raw Data'!O63),0)</f>
        <v>22</v>
      </c>
      <c r="P63" s="16">
        <v>94</v>
      </c>
      <c r="Q63" s="19" t="str">
        <f>'📂 Raw Data'!Q63</f>
        <v>Below Average</v>
      </c>
      <c r="R63" s="55" t="str">
        <f>'📂 Raw Data'!R63</f>
        <v>Active</v>
      </c>
    </row>
    <row r="64" spans="1:18" ht="18" customHeight="1">
      <c r="A64" s="54" t="str">
        <f>'📂 Raw Data'!A64</f>
        <v>EMP1062</v>
      </c>
      <c r="B64" s="16" t="str">
        <f>PROPER(TRIM('📂 Raw Data'!B64))</f>
        <v>Lokesh Rastogi</v>
      </c>
      <c r="C64" s="16">
        <f>'📂 Raw Data'!C64</f>
        <v>53</v>
      </c>
      <c r="D64" s="16" t="str">
        <f>IF(OR('📂 Raw Data'!D64="M",'📂 Raw Data'!D64="m"),"Male",IF(OR('📂 Raw Data'!D64="F",'📂 Raw Data'!D64="f"),"Female",PROPER('📂 Raw Data'!D64)))</f>
        <v>Male</v>
      </c>
      <c r="E64" s="17" t="str">
        <f>UPPER(TRIM('📂 Raw Data'!E64))</f>
        <v>MARKETING</v>
      </c>
      <c r="F64" s="16" t="str">
        <f>PROPER(TRIM('📂 Raw Data'!F64))</f>
        <v>Seo Specialist</v>
      </c>
      <c r="G64" s="16" t="str">
        <f>IFERROR(IF(ISNUMBER('📂 Raw Data'!G64),TEXT('📂 Raw Data'!G64,"DD-MMM-YYYY"),TEXT(DATEVALUE('📂 Raw Data'!G64),"DD-MMM-YYYY")),"Invalid Date")</f>
        <v>10-Dec-2019</v>
      </c>
      <c r="H64" s="16" t="str">
        <f>PROPER(TRIM('📂 Raw Data'!H64))</f>
        <v>Kolkata</v>
      </c>
      <c r="I64" s="18">
        <f>IFERROR(IF(ISNUMBER('📂 Raw Data'!I64),ABS('📂 Raw Data'!I64),0),0)</f>
        <v>27875</v>
      </c>
      <c r="J64" s="18">
        <f>IFERROR(ABS('📂 Raw Data'!J64),0)</f>
        <v>13815</v>
      </c>
      <c r="K64" s="18">
        <f>IFERROR(ABS('📂 Raw Data'!K64),0)</f>
        <v>12784</v>
      </c>
      <c r="L64" s="18">
        <f>IFERROR(ABS('📂 Raw Data'!L64),0)</f>
        <v>3242</v>
      </c>
      <c r="M64" s="18">
        <f>IFERROR(ABS('📂 Raw Data'!M64),0)</f>
        <v>3248</v>
      </c>
      <c r="N64" s="18">
        <f t="shared" si="0"/>
        <v>60964</v>
      </c>
      <c r="O64" s="16">
        <f>IFERROR(ABS('📂 Raw Data'!O64),0)</f>
        <v>15</v>
      </c>
      <c r="P64" s="20">
        <v>76</v>
      </c>
      <c r="Q64" s="19" t="str">
        <f>'📂 Raw Data'!Q64</f>
        <v>Good</v>
      </c>
      <c r="R64" s="55" t="str">
        <f>'📂 Raw Data'!R64</f>
        <v>Active</v>
      </c>
    </row>
    <row r="65" spans="1:18" ht="18" customHeight="1">
      <c r="A65" s="54" t="str">
        <f>'📂 Raw Data'!A65</f>
        <v>EMP1063</v>
      </c>
      <c r="B65" s="16" t="str">
        <f>PROPER(TRIM('📂 Raw Data'!B65))</f>
        <v>Zeba Ghosh</v>
      </c>
      <c r="C65" s="16">
        <f>'📂 Raw Data'!C65</f>
        <v>28</v>
      </c>
      <c r="D65" s="16" t="str">
        <f>IF(OR('📂 Raw Data'!D65="M",'📂 Raw Data'!D65="m"),"Male",IF(OR('📂 Raw Data'!D65="F",'📂 Raw Data'!D65="f"),"Female",PROPER('📂 Raw Data'!D65)))</f>
        <v>Male</v>
      </c>
      <c r="E65" s="17" t="str">
        <f>UPPER(TRIM('📂 Raw Data'!E65))</f>
        <v>MARKETING</v>
      </c>
      <c r="F65" s="16" t="str">
        <f>PROPER(TRIM('📂 Raw Data'!F65))</f>
        <v>Seo Specialist</v>
      </c>
      <c r="G65" s="16" t="str">
        <f>IFERROR(IF(ISNUMBER('📂 Raw Data'!G65),TEXT('📂 Raw Data'!G65,"DD-MMM-YYYY"),TEXT(DATEVALUE('📂 Raw Data'!G65),"DD-MMM-YYYY")),"Invalid Date")</f>
        <v>07-Nov-2018</v>
      </c>
      <c r="H65" s="16" t="str">
        <f>PROPER(TRIM('📂 Raw Data'!H65))</f>
        <v>Pune</v>
      </c>
      <c r="I65" s="18">
        <f>IFERROR(IF(ISNUMBER('📂 Raw Data'!I65),ABS('📂 Raw Data'!I65),0),0)</f>
        <v>106381</v>
      </c>
      <c r="J65" s="18">
        <f>IFERROR(ABS('📂 Raw Data'!J65),0)</f>
        <v>37247</v>
      </c>
      <c r="K65" s="18">
        <f>IFERROR(ABS('📂 Raw Data'!K65),0)</f>
        <v>14379</v>
      </c>
      <c r="L65" s="18">
        <f>IFERROR(ABS('📂 Raw Data'!L65),0)</f>
        <v>5905</v>
      </c>
      <c r="M65" s="18">
        <f>IFERROR(ABS('📂 Raw Data'!M65),0)</f>
        <v>7287</v>
      </c>
      <c r="N65" s="18">
        <f t="shared" si="0"/>
        <v>171199</v>
      </c>
      <c r="O65" s="16">
        <f>IFERROR(ABS('📂 Raw Data'!O65),0)</f>
        <v>25</v>
      </c>
      <c r="P65" s="16">
        <v>83</v>
      </c>
      <c r="Q65" s="19" t="str">
        <f>'📂 Raw Data'!Q65</f>
        <v>Below Average</v>
      </c>
      <c r="R65" s="55" t="str">
        <f>'📂 Raw Data'!R65</f>
        <v>On Leave</v>
      </c>
    </row>
    <row r="66" spans="1:18" ht="18" customHeight="1">
      <c r="A66" s="54" t="str">
        <f>'📂 Raw Data'!A66</f>
        <v>EMP1064</v>
      </c>
      <c r="B66" s="16" t="str">
        <f>PROPER(TRIM('📂 Raw Data'!B66))</f>
        <v>Aditi Singh</v>
      </c>
      <c r="C66" s="16">
        <f>'📂 Raw Data'!C66</f>
        <v>55</v>
      </c>
      <c r="D66" s="16" t="str">
        <f>IF(OR('📂 Raw Data'!D66="M",'📂 Raw Data'!D66="m"),"Male",IF(OR('📂 Raw Data'!D66="F",'📂 Raw Data'!D66="f"),"Female",PROPER('📂 Raw Data'!D66)))</f>
        <v>Female</v>
      </c>
      <c r="E66" s="17" t="str">
        <f>UPPER(TRIM('📂 Raw Data'!E66))</f>
        <v>ENGINEERING</v>
      </c>
      <c r="F66" s="16" t="str">
        <f>PROPER(TRIM('📂 Raw Data'!F66))</f>
        <v>Tech Lead</v>
      </c>
      <c r="G66" s="16" t="str">
        <f>IFERROR(IF(ISNUMBER('📂 Raw Data'!G66),TEXT('📂 Raw Data'!G66,"DD-MMM-YYYY"),TEXT(DATEVALUE('📂 Raw Data'!G66),"DD-MMM-YYYY")),"Invalid Date")</f>
        <v>10-Feb-2017</v>
      </c>
      <c r="H66" s="16" t="str">
        <f>PROPER(TRIM('📂 Raw Data'!H66))</f>
        <v>Hyderabad</v>
      </c>
      <c r="I66" s="18">
        <f>IFERROR(IF(ISNUMBER('📂 Raw Data'!I66),ABS('📂 Raw Data'!I66),0),0)</f>
        <v>67823</v>
      </c>
      <c r="J66" s="18">
        <f>IFERROR(ABS('📂 Raw Data'!J66),0)</f>
        <v>30486</v>
      </c>
      <c r="K66" s="18">
        <f>IFERROR(ABS('📂 Raw Data'!K66),0)</f>
        <v>4877</v>
      </c>
      <c r="L66" s="18">
        <f>IFERROR(ABS('📂 Raw Data'!L66),0)</f>
        <v>1644</v>
      </c>
      <c r="M66" s="18">
        <f>IFERROR(ABS('📂 Raw Data'!M66),0)</f>
        <v>2082</v>
      </c>
      <c r="N66" s="18">
        <f t="shared" si="0"/>
        <v>106912</v>
      </c>
      <c r="O66" s="16">
        <f>IFERROR(ABS('📂 Raw Data'!O66),0)</f>
        <v>23</v>
      </c>
      <c r="P66" s="20">
        <v>96</v>
      </c>
      <c r="Q66" s="19" t="str">
        <f>'📂 Raw Data'!Q66</f>
        <v>Average</v>
      </c>
      <c r="R66" s="55" t="str">
        <f>'📂 Raw Data'!R66</f>
        <v>Active</v>
      </c>
    </row>
    <row r="67" spans="1:18" ht="18" customHeight="1">
      <c r="A67" s="54" t="str">
        <f>'📂 Raw Data'!A67</f>
        <v>EMP1065</v>
      </c>
      <c r="B67" s="16" t="str">
        <f>PROPER(TRIM('📂 Raw Data'!B67))</f>
        <v>Esha Bahl</v>
      </c>
      <c r="C67" s="16">
        <f>'📂 Raw Data'!C67</f>
        <v>45</v>
      </c>
      <c r="D67" s="16" t="str">
        <f>IF(OR('📂 Raw Data'!D67="M",'📂 Raw Data'!D67="m"),"Male",IF(OR('📂 Raw Data'!D67="F",'📂 Raw Data'!D67="f"),"Female",PROPER('📂 Raw Data'!D67)))</f>
        <v>Female</v>
      </c>
      <c r="E67" s="17" t="str">
        <f>UPPER(TRIM('📂 Raw Data'!E67))</f>
        <v>FINANCE</v>
      </c>
      <c r="F67" s="16" t="str">
        <f>PROPER(TRIM('📂 Raw Data'!F67))</f>
        <v>Finance Manager</v>
      </c>
      <c r="G67" s="16" t="str">
        <f>IFERROR(IF(ISNUMBER('📂 Raw Data'!G67),TEXT('📂 Raw Data'!G67,"DD-MMM-YYYY"),TEXT(DATEVALUE('📂 Raw Data'!G67),"DD-MMM-YYYY")),"Invalid Date")</f>
        <v>15-Feb-2020</v>
      </c>
      <c r="H67" s="16" t="str">
        <f>PROPER(TRIM('📂 Raw Data'!H67))</f>
        <v>Mumbai</v>
      </c>
      <c r="I67" s="18">
        <f>IFERROR(IF(ISNUMBER('📂 Raw Data'!I67),ABS('📂 Raw Data'!I67),0),0)</f>
        <v>34869</v>
      </c>
      <c r="J67" s="18">
        <f>IFERROR(ABS('📂 Raw Data'!J67),0)</f>
        <v>11442</v>
      </c>
      <c r="K67" s="18">
        <f>IFERROR(ABS('📂 Raw Data'!K67),0)</f>
        <v>5696</v>
      </c>
      <c r="L67" s="18">
        <f>IFERROR(ABS('📂 Raw Data'!L67),0)</f>
        <v>7046</v>
      </c>
      <c r="M67" s="18">
        <f>IFERROR(ABS('📂 Raw Data'!M67),0)</f>
        <v>6540</v>
      </c>
      <c r="N67" s="18">
        <f t="shared" si="0"/>
        <v>65593</v>
      </c>
      <c r="O67" s="16">
        <f>IFERROR(ABS('📂 Raw Data'!O67),0)</f>
        <v>26</v>
      </c>
      <c r="P67" s="16">
        <v>83</v>
      </c>
      <c r="Q67" s="19" t="str">
        <f>'📂 Raw Data'!Q67</f>
        <v>Poor</v>
      </c>
      <c r="R67" s="55" t="str">
        <f>'📂 Raw Data'!R67</f>
        <v>Active</v>
      </c>
    </row>
    <row r="68" spans="1:18" ht="18" customHeight="1">
      <c r="A68" s="54" t="str">
        <f>'📂 Raw Data'!A68</f>
        <v>EMP1066</v>
      </c>
      <c r="B68" s="16" t="str">
        <f>PROPER(TRIM('📂 Raw Data'!B68))</f>
        <v>Hina Joshi</v>
      </c>
      <c r="C68" s="16">
        <f>'📂 Raw Data'!C68</f>
        <v>52</v>
      </c>
      <c r="D68" s="16" t="str">
        <f>IF(OR('📂 Raw Data'!D68="M",'📂 Raw Data'!D68="m"),"Male",IF(OR('📂 Raw Data'!D68="F",'📂 Raw Data'!D68="f"),"Female",PROPER('📂 Raw Data'!D68)))</f>
        <v>Male</v>
      </c>
      <c r="E68" s="17" t="str">
        <f>UPPER(TRIM('📂 Raw Data'!E68))</f>
        <v>ENGINEERING</v>
      </c>
      <c r="F68" s="16" t="str">
        <f>PROPER(TRIM('📂 Raw Data'!F68))</f>
        <v>Qa Engineer</v>
      </c>
      <c r="G68" s="16" t="str">
        <f>IFERROR(IF(ISNUMBER('📂 Raw Data'!G68),TEXT('📂 Raw Data'!G68,"DD-MMM-YYYY"),TEXT(DATEVALUE('📂 Raw Data'!G68),"DD-MMM-YYYY")),"Invalid Date")</f>
        <v>24-Nov-2020</v>
      </c>
      <c r="H68" s="16" t="str">
        <f>PROPER(TRIM('📂 Raw Data'!H68))</f>
        <v>Mumbai</v>
      </c>
      <c r="I68" s="18">
        <f>IFERROR(IF(ISNUMBER('📂 Raw Data'!I68),ABS('📂 Raw Data'!I68),0),0)</f>
        <v>113125</v>
      </c>
      <c r="J68" s="18">
        <f>IFERROR(ABS('📂 Raw Data'!J68),0)</f>
        <v>39869</v>
      </c>
      <c r="K68" s="18">
        <f>IFERROR(ABS('📂 Raw Data'!K68),0)</f>
        <v>8242</v>
      </c>
      <c r="L68" s="18">
        <f>IFERROR(ABS('📂 Raw Data'!L68),0)</f>
        <v>6737</v>
      </c>
      <c r="M68" s="18">
        <f>IFERROR(ABS('📂 Raw Data'!M68),0)</f>
        <v>6230</v>
      </c>
      <c r="N68" s="18">
        <f t="shared" ref="N68:N131" si="1">SUM(M68,L68,K68,J68,I68,)</f>
        <v>174203</v>
      </c>
      <c r="O68" s="16">
        <f>IFERROR(ABS('📂 Raw Data'!O68),0)</f>
        <v>20</v>
      </c>
      <c r="P68" s="20">
        <v>46</v>
      </c>
      <c r="Q68" s="19" t="str">
        <f>'📂 Raw Data'!Q68</f>
        <v>Poor</v>
      </c>
      <c r="R68" s="55" t="str">
        <f>'📂 Raw Data'!R68</f>
        <v>Resigned</v>
      </c>
    </row>
    <row r="69" spans="1:18" ht="18" customHeight="1">
      <c r="A69" s="54" t="str">
        <f>'📂 Raw Data'!A69</f>
        <v>EMP1067</v>
      </c>
      <c r="B69" s="16" t="str">
        <f>PROPER(TRIM('📂 Raw Data'!B69))</f>
        <v>Karan Saxena</v>
      </c>
      <c r="C69" s="16">
        <f>'📂 Raw Data'!C69</f>
        <v>28</v>
      </c>
      <c r="D69" s="16" t="str">
        <f>IF(OR('📂 Raw Data'!D69="M",'📂 Raw Data'!D69="m"),"Male",IF(OR('📂 Raw Data'!D69="F",'📂 Raw Data'!D69="f"),"Female",PROPER('📂 Raw Data'!D69)))</f>
        <v>Male</v>
      </c>
      <c r="E69" s="17" t="str">
        <f>UPPER(TRIM('📂 Raw Data'!E69))</f>
        <v>SALES</v>
      </c>
      <c r="F69" s="16" t="str">
        <f>PROPER(TRIM('📂 Raw Data'!F69))</f>
        <v>Sales Executive</v>
      </c>
      <c r="G69" s="16" t="str">
        <f>IFERROR(IF(ISNUMBER('📂 Raw Data'!G69),TEXT('📂 Raw Data'!G69,"DD-MMM-YYYY"),TEXT(DATEVALUE('📂 Raw Data'!G69),"DD-MMM-YYYY")),"Invalid Date")</f>
        <v>10-Dec-2022</v>
      </c>
      <c r="H69" s="16" t="str">
        <f>PROPER(TRIM('📂 Raw Data'!H69))</f>
        <v>Delhi</v>
      </c>
      <c r="I69" s="18">
        <f>IFERROR(IF(ISNUMBER('📂 Raw Data'!I69),ABS('📂 Raw Data'!I69),0),0)</f>
        <v>110097</v>
      </c>
      <c r="J69" s="18">
        <f>IFERROR(ABS('📂 Raw Data'!J69),0)</f>
        <v>42020</v>
      </c>
      <c r="K69" s="18">
        <f>IFERROR(ABS('📂 Raw Data'!K69),0)</f>
        <v>4290</v>
      </c>
      <c r="L69" s="18">
        <f>IFERROR(ABS('📂 Raw Data'!L69),0)</f>
        <v>371</v>
      </c>
      <c r="M69" s="18">
        <f>IFERROR(ABS('📂 Raw Data'!M69),0)</f>
        <v>1304</v>
      </c>
      <c r="N69" s="18">
        <f t="shared" si="1"/>
        <v>158082</v>
      </c>
      <c r="O69" s="16">
        <f>IFERROR(ABS('📂 Raw Data'!O69),0)</f>
        <v>19</v>
      </c>
      <c r="P69" s="16">
        <v>71</v>
      </c>
      <c r="Q69" s="19" t="str">
        <f>'📂 Raw Data'!Q69</f>
        <v>Below Average</v>
      </c>
      <c r="R69" s="55" t="str">
        <f>'📂 Raw Data'!R69</f>
        <v>Resigned</v>
      </c>
    </row>
    <row r="70" spans="1:18" ht="18" customHeight="1">
      <c r="A70" s="54" t="str">
        <f>'📂 Raw Data'!A70</f>
        <v>EMP1068</v>
      </c>
      <c r="B70" s="16" t="str">
        <f>PROPER(TRIM('📂 Raw Data'!B70))</f>
        <v>Ekta Doshi</v>
      </c>
      <c r="C70" s="16">
        <f>'📂 Raw Data'!C70</f>
        <v>35</v>
      </c>
      <c r="D70" s="16" t="str">
        <f>IF(OR('📂 Raw Data'!D70="M",'📂 Raw Data'!D70="m"),"Male",IF(OR('📂 Raw Data'!D70="F",'📂 Raw Data'!D70="f"),"Female",PROPER('📂 Raw Data'!D70)))</f>
        <v>Female</v>
      </c>
      <c r="E70" s="17" t="str">
        <f>UPPER(TRIM('📂 Raw Data'!E70))</f>
        <v>HR</v>
      </c>
      <c r="F70" s="16" t="str">
        <f>PROPER(TRIM('📂 Raw Data'!F70))</f>
        <v>Training Coordinator</v>
      </c>
      <c r="G70" s="16" t="str">
        <f>IFERROR(IF(ISNUMBER('📂 Raw Data'!G70),TEXT('📂 Raw Data'!G70,"DD-MMM-YYYY"),TEXT(DATEVALUE('📂 Raw Data'!G70),"DD-MMM-YYYY")),"Invalid Date")</f>
        <v>21-Jul-2017</v>
      </c>
      <c r="H70" s="16" t="str">
        <f>PROPER(TRIM('📂 Raw Data'!H70))</f>
        <v>Chennai</v>
      </c>
      <c r="I70" s="18">
        <f>IFERROR(IF(ISNUMBER('📂 Raw Data'!I70),ABS('📂 Raw Data'!I70),0),0)</f>
        <v>37978</v>
      </c>
      <c r="J70" s="18">
        <f>IFERROR(ABS('📂 Raw Data'!J70),0)</f>
        <v>17726</v>
      </c>
      <c r="K70" s="18">
        <f>IFERROR(ABS('📂 Raw Data'!K70),0)</f>
        <v>12086</v>
      </c>
      <c r="L70" s="18">
        <f>IFERROR(ABS('📂 Raw Data'!L70),0)</f>
        <v>3343</v>
      </c>
      <c r="M70" s="18">
        <f>IFERROR(ABS('📂 Raw Data'!M70),0)</f>
        <v>3291</v>
      </c>
      <c r="N70" s="18">
        <f t="shared" si="1"/>
        <v>74424</v>
      </c>
      <c r="O70" s="16">
        <f>IFERROR(ABS('📂 Raw Data'!O70),0)</f>
        <v>15</v>
      </c>
      <c r="P70" s="20">
        <v>84</v>
      </c>
      <c r="Q70" s="19" t="str">
        <f>'📂 Raw Data'!Q70</f>
        <v>Excellent</v>
      </c>
      <c r="R70" s="55" t="str">
        <f>'📂 Raw Data'!R70</f>
        <v>Active</v>
      </c>
    </row>
    <row r="71" spans="1:18" ht="18" customHeight="1">
      <c r="A71" s="54" t="str">
        <f>'📂 Raw Data'!A71</f>
        <v>EMP1069</v>
      </c>
      <c r="B71" s="16" t="str">
        <f>PROPER(TRIM('📂 Raw Data'!B71))</f>
        <v>Ekta Jain</v>
      </c>
      <c r="C71" s="16">
        <f>'📂 Raw Data'!C71</f>
        <v>23</v>
      </c>
      <c r="D71" s="16" t="str">
        <f>IF(OR('📂 Raw Data'!D71="M",'📂 Raw Data'!D71="m"),"Male",IF(OR('📂 Raw Data'!D71="F",'📂 Raw Data'!D71="f"),"Female",PROPER('📂 Raw Data'!D71)))</f>
        <v>Male</v>
      </c>
      <c r="E71" s="17" t="str">
        <f>UPPER(TRIM('📂 Raw Data'!E71))</f>
        <v>OPERATIONS</v>
      </c>
      <c r="F71" s="16" t="str">
        <f>PROPER(TRIM('📂 Raw Data'!F71))</f>
        <v>Admin Officer</v>
      </c>
      <c r="G71" s="16" t="str">
        <f>IFERROR(IF(ISNUMBER('📂 Raw Data'!G71),TEXT('📂 Raw Data'!G71,"DD-MMM-YYYY"),TEXT(DATEVALUE('📂 Raw Data'!G71),"DD-MMM-YYYY")),"Invalid Date")</f>
        <v>12-Nov-2023</v>
      </c>
      <c r="H71" s="16" t="str">
        <f>PROPER(TRIM('📂 Raw Data'!H71))</f>
        <v>Mumbai</v>
      </c>
      <c r="I71" s="18">
        <f>IFERROR(IF(ISNUMBER('📂 Raw Data'!I71),ABS('📂 Raw Data'!I71),0),0)</f>
        <v>32936</v>
      </c>
      <c r="J71" s="18">
        <f>IFERROR(ABS('📂 Raw Data'!J71),0)</f>
        <v>12503</v>
      </c>
      <c r="K71" s="18">
        <f>IFERROR(ABS('📂 Raw Data'!K71),0)</f>
        <v>5109</v>
      </c>
      <c r="L71" s="18">
        <f>IFERROR(ABS('📂 Raw Data'!L71),0)</f>
        <v>7931</v>
      </c>
      <c r="M71" s="18">
        <f>IFERROR(ABS('📂 Raw Data'!M71),0)</f>
        <v>2000</v>
      </c>
      <c r="N71" s="18">
        <f t="shared" si="1"/>
        <v>60479</v>
      </c>
      <c r="O71" s="16">
        <f>IFERROR(ABS('📂 Raw Data'!O71),0)</f>
        <v>22</v>
      </c>
      <c r="P71" s="16">
        <v>45</v>
      </c>
      <c r="Q71" s="19" t="str">
        <f>'📂 Raw Data'!Q71</f>
        <v>Poor</v>
      </c>
      <c r="R71" s="55" t="str">
        <f>'📂 Raw Data'!R71</f>
        <v>Active</v>
      </c>
    </row>
    <row r="72" spans="1:18" ht="18" customHeight="1">
      <c r="A72" s="54" t="str">
        <f>'📂 Raw Data'!A72</f>
        <v>EMP1070</v>
      </c>
      <c r="B72" s="16" t="str">
        <f>PROPER(TRIM('📂 Raw Data'!B72))</f>
        <v>Karan Reddy</v>
      </c>
      <c r="C72" s="16">
        <f>'📂 Raw Data'!C72</f>
        <v>39</v>
      </c>
      <c r="D72" s="16" t="str">
        <f>IF(OR('📂 Raw Data'!D72="M",'📂 Raw Data'!D72="m"),"Male",IF(OR('📂 Raw Data'!D72="F",'📂 Raw Data'!D72="f"),"Female",PROPER('📂 Raw Data'!D72)))</f>
        <v>Male</v>
      </c>
      <c r="E72" s="17" t="str">
        <f>UPPER(TRIM('📂 Raw Data'!E72))</f>
        <v>SALES</v>
      </c>
      <c r="F72" s="16" t="str">
        <f>PROPER(TRIM('📂 Raw Data'!F72))</f>
        <v>Sales Executive</v>
      </c>
      <c r="G72" s="16" t="str">
        <f>IFERROR(IF(ISNUMBER('📂 Raw Data'!G72),TEXT('📂 Raw Data'!G72,"DD-MMM-YYYY"),TEXT(DATEVALUE('📂 Raw Data'!G72),"DD-MMM-YYYY")),"Invalid Date")</f>
        <v>19-Apr-2023</v>
      </c>
      <c r="H72" s="16" t="str">
        <f>PROPER(TRIM('📂 Raw Data'!H72))</f>
        <v>Kolkata</v>
      </c>
      <c r="I72" s="18">
        <f>IFERROR(IF(ISNUMBER('📂 Raw Data'!I72),ABS('📂 Raw Data'!I72),0),0)</f>
        <v>53305</v>
      </c>
      <c r="J72" s="18">
        <f>IFERROR(ABS('📂 Raw Data'!J72),0)</f>
        <v>24659</v>
      </c>
      <c r="K72" s="18">
        <f>IFERROR(ABS('📂 Raw Data'!K72),0)</f>
        <v>5817</v>
      </c>
      <c r="L72" s="18">
        <f>IFERROR(ABS('📂 Raw Data'!L72),0)</f>
        <v>2691</v>
      </c>
      <c r="M72" s="18">
        <f>IFERROR(ABS('📂 Raw Data'!M72),0)</f>
        <v>7343</v>
      </c>
      <c r="N72" s="18">
        <f t="shared" si="1"/>
        <v>93815</v>
      </c>
      <c r="O72" s="16">
        <f>IFERROR(ABS('📂 Raw Data'!O72),0)</f>
        <v>17</v>
      </c>
      <c r="P72" s="20">
        <v>90</v>
      </c>
      <c r="Q72" s="19" t="str">
        <f>'📂 Raw Data'!Q72</f>
        <v>Average</v>
      </c>
      <c r="R72" s="55" t="str">
        <f>'📂 Raw Data'!R72</f>
        <v>Active</v>
      </c>
    </row>
    <row r="73" spans="1:18" ht="18" customHeight="1">
      <c r="A73" s="54" t="str">
        <f>'📂 Raw Data'!A73</f>
        <v>EMP1071</v>
      </c>
      <c r="B73" s="16" t="str">
        <f>PROPER(TRIM('📂 Raw Data'!B73))</f>
        <v>Aarav Naik</v>
      </c>
      <c r="C73" s="16">
        <f>'📂 Raw Data'!C73</f>
        <v>25</v>
      </c>
      <c r="D73" s="16" t="str">
        <f>IF(OR('📂 Raw Data'!D73="M",'📂 Raw Data'!D73="m"),"Male",IF(OR('📂 Raw Data'!D73="F",'📂 Raw Data'!D73="f"),"Female",PROPER('📂 Raw Data'!D73)))</f>
        <v>Female</v>
      </c>
      <c r="E73" s="17" t="str">
        <f>UPPER(TRIM('📂 Raw Data'!E73))</f>
        <v>SALES</v>
      </c>
      <c r="F73" s="16" t="str">
        <f>PROPER(TRIM('📂 Raw Data'!F73))</f>
        <v>Sales Executive</v>
      </c>
      <c r="G73" s="16" t="str">
        <f>IFERROR(IF(ISNUMBER('📂 Raw Data'!G73),TEXT('📂 Raw Data'!G73,"DD-MMM-YYYY"),TEXT(DATEVALUE('📂 Raw Data'!G73),"DD-MMM-YYYY")),"Invalid Date")</f>
        <v>01-Mar-2015</v>
      </c>
      <c r="H73" s="16" t="str">
        <f>PROPER(TRIM('📂 Raw Data'!H73))</f>
        <v>Delhi</v>
      </c>
      <c r="I73" s="18">
        <f>IFERROR(IF(ISNUMBER('📂 Raw Data'!I73),ABS('📂 Raw Data'!I73),0),0)</f>
        <v>71955</v>
      </c>
      <c r="J73" s="18">
        <f>IFERROR(ABS('📂 Raw Data'!J73),0)</f>
        <v>32955</v>
      </c>
      <c r="K73" s="18">
        <f>IFERROR(ABS('📂 Raw Data'!K73),0)</f>
        <v>5898</v>
      </c>
      <c r="L73" s="18">
        <f>IFERROR(ABS('📂 Raw Data'!L73),0)</f>
        <v>4823</v>
      </c>
      <c r="M73" s="18">
        <f>IFERROR(ABS('📂 Raw Data'!M73),0)</f>
        <v>3652</v>
      </c>
      <c r="N73" s="18">
        <f t="shared" si="1"/>
        <v>119283</v>
      </c>
      <c r="O73" s="16">
        <f>IFERROR(ABS('📂 Raw Data'!O73),0)</f>
        <v>15</v>
      </c>
      <c r="P73" s="16">
        <v>51</v>
      </c>
      <c r="Q73" s="19" t="str">
        <f>'📂 Raw Data'!Q73</f>
        <v>Excellent</v>
      </c>
      <c r="R73" s="55" t="str">
        <f>'📂 Raw Data'!R73</f>
        <v>On Leave</v>
      </c>
    </row>
    <row r="74" spans="1:18" ht="18" customHeight="1">
      <c r="A74" s="54" t="str">
        <f>'📂 Raw Data'!A74</f>
        <v>EMP1072</v>
      </c>
      <c r="B74" s="16" t="str">
        <f>PROPER(TRIM('📂 Raw Data'!B74))</f>
        <v>Bina Yadav</v>
      </c>
      <c r="C74" s="16">
        <f>'📂 Raw Data'!C74</f>
        <v>55</v>
      </c>
      <c r="D74" s="16" t="str">
        <f>IF(OR('📂 Raw Data'!D74="M",'📂 Raw Data'!D74="m"),"Male",IF(OR('📂 Raw Data'!D74="F",'📂 Raw Data'!D74="f"),"Female",PROPER('📂 Raw Data'!D74)))</f>
        <v>Male</v>
      </c>
      <c r="E74" s="17" t="str">
        <f>UPPER(TRIM('📂 Raw Data'!E74))</f>
        <v>OPERATIONS</v>
      </c>
      <c r="F74" s="16" t="str">
        <f>PROPER(TRIM('📂 Raw Data'!F74))</f>
        <v>Operations Executive</v>
      </c>
      <c r="G74" s="16" t="str">
        <f>IFERROR(IF(ISNUMBER('📂 Raw Data'!G74),TEXT('📂 Raw Data'!G74,"DD-MMM-YYYY"),TEXT(DATEVALUE('📂 Raw Data'!G74),"DD-MMM-YYYY")),"Invalid Date")</f>
        <v>25-Aug-2022</v>
      </c>
      <c r="H74" s="16" t="str">
        <f>PROPER(TRIM('📂 Raw Data'!H74))</f>
        <v>Bangalore</v>
      </c>
      <c r="I74" s="18">
        <f>IFERROR(IF(ISNUMBER('📂 Raw Data'!I74),ABS('📂 Raw Data'!I74),0),0)</f>
        <v>72453</v>
      </c>
      <c r="J74" s="18">
        <f>IFERROR(ABS('📂 Raw Data'!J74),0)</f>
        <v>29173</v>
      </c>
      <c r="K74" s="18">
        <f>IFERROR(ABS('📂 Raw Data'!K74),0)</f>
        <v>3786</v>
      </c>
      <c r="L74" s="18">
        <f>IFERROR(ABS('📂 Raw Data'!L74),0)</f>
        <v>3702</v>
      </c>
      <c r="M74" s="18">
        <f>IFERROR(ABS('📂 Raw Data'!M74),0)</f>
        <v>5127</v>
      </c>
      <c r="N74" s="18">
        <f t="shared" si="1"/>
        <v>114241</v>
      </c>
      <c r="O74" s="16">
        <f>IFERROR(ABS('📂 Raw Data'!O74),0)</f>
        <v>18</v>
      </c>
      <c r="P74" s="20">
        <v>100</v>
      </c>
      <c r="Q74" s="19" t="str">
        <f>'📂 Raw Data'!Q74</f>
        <v>Excellent</v>
      </c>
      <c r="R74" s="55" t="str">
        <f>'📂 Raw Data'!R74</f>
        <v>Active</v>
      </c>
    </row>
    <row r="75" spans="1:18" ht="18" customHeight="1">
      <c r="A75" s="54" t="str">
        <f>'📂 Raw Data'!A75</f>
        <v>EMP1073</v>
      </c>
      <c r="B75" s="16" t="str">
        <f>PROPER(TRIM('📂 Raw Data'!B75))</f>
        <v>Chhaya Vashistha</v>
      </c>
      <c r="C75" s="16">
        <f>'📂 Raw Data'!C75</f>
        <v>26</v>
      </c>
      <c r="D75" s="16" t="str">
        <f>IF(OR('📂 Raw Data'!D75="M",'📂 Raw Data'!D75="m"),"Male",IF(OR('📂 Raw Data'!D75="F",'📂 Raw Data'!D75="f"),"Female",PROPER('📂 Raw Data'!D75)))</f>
        <v>Male</v>
      </c>
      <c r="E75" s="17" t="str">
        <f>UPPER(TRIM('📂 Raw Data'!E75))</f>
        <v>FINANCE</v>
      </c>
      <c r="F75" s="16" t="str">
        <f>PROPER(TRIM('📂 Raw Data'!F75))</f>
        <v>Auditor</v>
      </c>
      <c r="G75" s="16" t="str">
        <f>IFERROR(IF(ISNUMBER('📂 Raw Data'!G75),TEXT('📂 Raw Data'!G75,"DD-MMM-YYYY"),TEXT(DATEVALUE('📂 Raw Data'!G75),"DD-MMM-YYYY")),"Invalid Date")</f>
        <v>04-Nov-2021</v>
      </c>
      <c r="H75" s="16" t="str">
        <f>PROPER(TRIM('📂 Raw Data'!H75))</f>
        <v>Delhi</v>
      </c>
      <c r="I75" s="18">
        <f>IFERROR(IF(ISNUMBER('📂 Raw Data'!I75),ABS('📂 Raw Data'!I75),0),0)</f>
        <v>89260</v>
      </c>
      <c r="J75" s="18">
        <f>IFERROR(ABS('📂 Raw Data'!J75),0)</f>
        <v>39496</v>
      </c>
      <c r="K75" s="18">
        <f>IFERROR(ABS('📂 Raw Data'!K75),0)</f>
        <v>9267</v>
      </c>
      <c r="L75" s="18">
        <f>IFERROR(ABS('📂 Raw Data'!L75),0)</f>
        <v>602</v>
      </c>
      <c r="M75" s="18">
        <f>IFERROR(ABS('📂 Raw Data'!M75),0)</f>
        <v>1661</v>
      </c>
      <c r="N75" s="18">
        <f t="shared" si="1"/>
        <v>140286</v>
      </c>
      <c r="O75" s="16">
        <f>IFERROR(ABS('📂 Raw Data'!O75),0)</f>
        <v>20</v>
      </c>
      <c r="P75" s="16">
        <v>78</v>
      </c>
      <c r="Q75" s="19" t="str">
        <f>'📂 Raw Data'!Q75</f>
        <v>Poor</v>
      </c>
      <c r="R75" s="55" t="str">
        <f>'📂 Raw Data'!R75</f>
        <v>Active</v>
      </c>
    </row>
    <row r="76" spans="1:18" ht="18" customHeight="1">
      <c r="A76" s="54" t="str">
        <f>'📂 Raw Data'!A76</f>
        <v>EMP1074</v>
      </c>
      <c r="B76" s="16" t="str">
        <f>PROPER(TRIM('📂 Raw Data'!B76))</f>
        <v>Aarav Pillai</v>
      </c>
      <c r="C76" s="16">
        <f>'📂 Raw Data'!C76</f>
        <v>49</v>
      </c>
      <c r="D76" s="16" t="str">
        <f>IF(OR('📂 Raw Data'!D76="M",'📂 Raw Data'!D76="m"),"Male",IF(OR('📂 Raw Data'!D76="F",'📂 Raw Data'!D76="f"),"Female",PROPER('📂 Raw Data'!D76)))</f>
        <v>Male</v>
      </c>
      <c r="E76" s="17" t="str">
        <f>UPPER(TRIM('📂 Raw Data'!E76))</f>
        <v>MARKETING</v>
      </c>
      <c r="F76" s="16" t="str">
        <f>PROPER(TRIM('📂 Raw Data'!F76))</f>
        <v>Seo Specialist</v>
      </c>
      <c r="G76" s="16" t="str">
        <f>IFERROR(IF(ISNUMBER('📂 Raw Data'!G76),TEXT('📂 Raw Data'!G76,"DD-MMM-YYYY"),TEXT(DATEVALUE('📂 Raw Data'!G76),"DD-MMM-YYYY")),"Invalid Date")</f>
        <v>17-Oct-2021</v>
      </c>
      <c r="H76" s="16" t="str">
        <f>PROPER(TRIM('📂 Raw Data'!H76))</f>
        <v>Chennai</v>
      </c>
      <c r="I76" s="18">
        <f>IFERROR(IF(ISNUMBER('📂 Raw Data'!I76),ABS('📂 Raw Data'!I76),0),0)</f>
        <v>63652</v>
      </c>
      <c r="J76" s="18">
        <f>IFERROR(ABS('📂 Raw Data'!J76),0)</f>
        <v>24872</v>
      </c>
      <c r="K76" s="18">
        <f>IFERROR(ABS('📂 Raw Data'!K76),0)</f>
        <v>11919</v>
      </c>
      <c r="L76" s="18">
        <f>IFERROR(ABS('📂 Raw Data'!L76),0)</f>
        <v>3524</v>
      </c>
      <c r="M76" s="18">
        <f>IFERROR(ABS('📂 Raw Data'!M76),0)</f>
        <v>1812</v>
      </c>
      <c r="N76" s="18">
        <f t="shared" si="1"/>
        <v>105779</v>
      </c>
      <c r="O76" s="16">
        <f>IFERROR(ABS('📂 Raw Data'!O76),0)</f>
        <v>26</v>
      </c>
      <c r="P76" s="20">
        <v>47</v>
      </c>
      <c r="Q76" s="19" t="str">
        <f>'📂 Raw Data'!Q76</f>
        <v>Below Average</v>
      </c>
      <c r="R76" s="55" t="str">
        <f>'📂 Raw Data'!R76</f>
        <v>Active</v>
      </c>
    </row>
    <row r="77" spans="1:18" ht="18" customHeight="1">
      <c r="A77" s="54" t="str">
        <f>'📂 Raw Data'!A77</f>
        <v>EMP1075</v>
      </c>
      <c r="B77" s="16" t="str">
        <f>PROPER(TRIM('📂 Raw Data'!B77))</f>
        <v>Sanjay Islam</v>
      </c>
      <c r="C77" s="16">
        <f>'📂 Raw Data'!C77</f>
        <v>26</v>
      </c>
      <c r="D77" s="16" t="str">
        <f>IF(OR('📂 Raw Data'!D77="M",'📂 Raw Data'!D77="m"),"Male",IF(OR('📂 Raw Data'!D77="F",'📂 Raw Data'!D77="f"),"Female",PROPER('📂 Raw Data'!D77)))</f>
        <v>Female</v>
      </c>
      <c r="E77" s="17" t="str">
        <f>UPPER(TRIM('📂 Raw Data'!E77))</f>
        <v>FINANCE</v>
      </c>
      <c r="F77" s="16" t="str">
        <f>PROPER(TRIM('📂 Raw Data'!F77))</f>
        <v>Auditor</v>
      </c>
      <c r="G77" s="16" t="str">
        <f>IFERROR(IF(ISNUMBER('📂 Raw Data'!G77),TEXT('📂 Raw Data'!G77,"DD-MMM-YYYY"),TEXT(DATEVALUE('📂 Raw Data'!G77),"DD-MMM-YYYY")),"Invalid Date")</f>
        <v>14-Jun-2016</v>
      </c>
      <c r="H77" s="16" t="str">
        <f>PROPER(TRIM('📂 Raw Data'!H77))</f>
        <v>Mumbai</v>
      </c>
      <c r="I77" s="18">
        <f>IFERROR(IF(ISNUMBER('📂 Raw Data'!I77),ABS('📂 Raw Data'!I77),0),0)</f>
        <v>65963</v>
      </c>
      <c r="J77" s="18">
        <f>IFERROR(ABS('📂 Raw Data'!J77),0)</f>
        <v>28563</v>
      </c>
      <c r="K77" s="18">
        <f>IFERROR(ABS('📂 Raw Data'!K77),0)</f>
        <v>8132</v>
      </c>
      <c r="L77" s="18">
        <f>IFERROR(ABS('📂 Raw Data'!L77),0)</f>
        <v>7811</v>
      </c>
      <c r="M77" s="18">
        <f>IFERROR(ABS('📂 Raw Data'!M77),0)</f>
        <v>2250</v>
      </c>
      <c r="N77" s="18">
        <f t="shared" si="1"/>
        <v>112719</v>
      </c>
      <c r="O77" s="16">
        <f>IFERROR(ABS('📂 Raw Data'!O77),0)</f>
        <v>25</v>
      </c>
      <c r="P77" s="16">
        <v>99</v>
      </c>
      <c r="Q77" s="19" t="str">
        <f>'📂 Raw Data'!Q77</f>
        <v>Excellent</v>
      </c>
      <c r="R77" s="55" t="str">
        <f>'📂 Raw Data'!R77</f>
        <v>Active</v>
      </c>
    </row>
    <row r="78" spans="1:18" ht="18" customHeight="1">
      <c r="A78" s="54" t="str">
        <f>'📂 Raw Data'!A78</f>
        <v>EMP1076</v>
      </c>
      <c r="B78" s="16" t="str">
        <f>PROPER(TRIM('📂 Raw Data'!B78))</f>
        <v>Isha Eapen</v>
      </c>
      <c r="C78" s="16">
        <f>'📂 Raw Data'!C78</f>
        <v>49</v>
      </c>
      <c r="D78" s="16" t="str">
        <f>IF(OR('📂 Raw Data'!D78="M",'📂 Raw Data'!D78="m"),"Male",IF(OR('📂 Raw Data'!D78="F",'📂 Raw Data'!D78="f"),"Female",PROPER('📂 Raw Data'!D78)))</f>
        <v>Female</v>
      </c>
      <c r="E78" s="17" t="str">
        <f>UPPER(TRIM('📂 Raw Data'!E78))</f>
        <v>OPERATIONS</v>
      </c>
      <c r="F78" s="16" t="str">
        <f>PROPER(TRIM('📂 Raw Data'!F78))</f>
        <v>Admin Officer</v>
      </c>
      <c r="G78" s="16" t="str">
        <f>IFERROR(IF(ISNUMBER('📂 Raw Data'!G78),TEXT('📂 Raw Data'!G78,"DD-MMM-YYYY"),TEXT(DATEVALUE('📂 Raw Data'!G78),"DD-MMM-YYYY")),"Invalid Date")</f>
        <v>02-Sep-2017</v>
      </c>
      <c r="H78" s="16" t="str">
        <f>PROPER(TRIM('📂 Raw Data'!H78))</f>
        <v>Kolkata</v>
      </c>
      <c r="I78" s="18">
        <f>IFERROR(IF(ISNUMBER('📂 Raw Data'!I78),ABS('📂 Raw Data'!I78),0),0)</f>
        <v>0</v>
      </c>
      <c r="J78" s="18">
        <f>IFERROR(ABS('📂 Raw Data'!J78),0)</f>
        <v>50051</v>
      </c>
      <c r="K78" s="18">
        <f>IFERROR(ABS('📂 Raw Data'!K78),0)</f>
        <v>11202</v>
      </c>
      <c r="L78" s="18">
        <f>IFERROR(ABS('📂 Raw Data'!L78),0)</f>
        <v>2700</v>
      </c>
      <c r="M78" s="18">
        <f>IFERROR(ABS('📂 Raw Data'!M78),0)</f>
        <v>6488</v>
      </c>
      <c r="N78" s="18">
        <f t="shared" si="1"/>
        <v>70441</v>
      </c>
      <c r="O78" s="16">
        <f>IFERROR(ABS('📂 Raw Data'!O78),0)</f>
        <v>16</v>
      </c>
      <c r="P78" s="20">
        <v>66</v>
      </c>
      <c r="Q78" s="19" t="str">
        <f>'📂 Raw Data'!Q78</f>
        <v>Poor</v>
      </c>
      <c r="R78" s="55" t="str">
        <f>'📂 Raw Data'!R78</f>
        <v>On Leave</v>
      </c>
    </row>
    <row r="79" spans="1:18" ht="18" customHeight="1">
      <c r="A79" s="54" t="str">
        <f>'📂 Raw Data'!A79</f>
        <v>EMP1077</v>
      </c>
      <c r="B79" s="16" t="str">
        <f>PROPER(TRIM('📂 Raw Data'!B79))</f>
        <v>Yash Mathur</v>
      </c>
      <c r="C79" s="16">
        <f>'📂 Raw Data'!C79</f>
        <v>29</v>
      </c>
      <c r="D79" s="16" t="str">
        <f>IF(OR('📂 Raw Data'!D79="M",'📂 Raw Data'!D79="m"),"Male",IF(OR('📂 Raw Data'!D79="F",'📂 Raw Data'!D79="f"),"Female",PROPER('📂 Raw Data'!D79)))</f>
        <v>Female</v>
      </c>
      <c r="E79" s="17" t="str">
        <f>UPPER(TRIM('📂 Raw Data'!E79))</f>
        <v>HR</v>
      </c>
      <c r="F79" s="16" t="str">
        <f>PROPER(TRIM('📂 Raw Data'!F79))</f>
        <v>Recruiter</v>
      </c>
      <c r="G79" s="16" t="str">
        <f>IFERROR(IF(ISNUMBER('📂 Raw Data'!G79),TEXT('📂 Raw Data'!G79,"DD-MMM-YYYY"),TEXT(DATEVALUE('📂 Raw Data'!G79),"DD-MMM-YYYY")),"Invalid Date")</f>
        <v>17-Oct-2016</v>
      </c>
      <c r="H79" s="16" t="str">
        <f>PROPER(TRIM('📂 Raw Data'!H79))</f>
        <v>Kolkata</v>
      </c>
      <c r="I79" s="18">
        <f>IFERROR(IF(ISNUMBER('📂 Raw Data'!I79),ABS('📂 Raw Data'!I79),0),0)</f>
        <v>52884</v>
      </c>
      <c r="J79" s="18">
        <f>IFERROR(ABS('📂 Raw Data'!J79),0)</f>
        <v>17502</v>
      </c>
      <c r="K79" s="18">
        <f>IFERROR(ABS('📂 Raw Data'!K79),0)</f>
        <v>9900</v>
      </c>
      <c r="L79" s="18">
        <f>IFERROR(ABS('📂 Raw Data'!L79),0)</f>
        <v>1837</v>
      </c>
      <c r="M79" s="18">
        <f>IFERROR(ABS('📂 Raw Data'!M79),0)</f>
        <v>7940</v>
      </c>
      <c r="N79" s="18">
        <f t="shared" si="1"/>
        <v>90063</v>
      </c>
      <c r="O79" s="16">
        <f>IFERROR(ABS('📂 Raw Data'!O79),0)</f>
        <v>16</v>
      </c>
      <c r="P79" s="16">
        <v>62</v>
      </c>
      <c r="Q79" s="19" t="str">
        <f>'📂 Raw Data'!Q79</f>
        <v>Below Average</v>
      </c>
      <c r="R79" s="55" t="str">
        <f>'📂 Raw Data'!R79</f>
        <v>Active</v>
      </c>
    </row>
    <row r="80" spans="1:18" ht="18" customHeight="1">
      <c r="A80" s="54" t="str">
        <f>'📂 Raw Data'!A80</f>
        <v>EMP1078</v>
      </c>
      <c r="B80" s="16" t="str">
        <f>PROPER(TRIM('📂 Raw Data'!B80))</f>
        <v>Vikas Verma</v>
      </c>
      <c r="C80" s="16">
        <f>'📂 Raw Data'!C80</f>
        <v>31</v>
      </c>
      <c r="D80" s="16" t="str">
        <f>IF(OR('📂 Raw Data'!D80="M",'📂 Raw Data'!D80="m"),"Male",IF(OR('📂 Raw Data'!D80="F",'📂 Raw Data'!D80="f"),"Female",PROPER('📂 Raw Data'!D80)))</f>
        <v>Male</v>
      </c>
      <c r="E80" s="17" t="str">
        <f>UPPER(TRIM('📂 Raw Data'!E80))</f>
        <v>MARKETING</v>
      </c>
      <c r="F80" s="16" t="str">
        <f>PROPER(TRIM('📂 Raw Data'!F80))</f>
        <v>Marketing Executive</v>
      </c>
      <c r="G80" s="16" t="str">
        <f>IFERROR(IF(ISNUMBER('📂 Raw Data'!G80),TEXT('📂 Raw Data'!G80,"DD-MMM-YYYY"),TEXT(DATEVALUE('📂 Raw Data'!G80),"DD-MMM-YYYY")),"Invalid Date")</f>
        <v>06-Jan-2019</v>
      </c>
      <c r="H80" s="16" t="str">
        <f>PROPER(TRIM('📂 Raw Data'!H80))</f>
        <v>Hyderabad</v>
      </c>
      <c r="I80" s="18">
        <f>IFERROR(IF(ISNUMBER('📂 Raw Data'!I80),ABS('📂 Raw Data'!I80),0),0)</f>
        <v>60818</v>
      </c>
      <c r="J80" s="18">
        <f>IFERROR(ABS('📂 Raw Data'!J80),0)</f>
        <v>26793</v>
      </c>
      <c r="K80" s="18">
        <f>IFERROR(ABS('📂 Raw Data'!K80),0)</f>
        <v>7062</v>
      </c>
      <c r="L80" s="18">
        <f>IFERROR(ABS('📂 Raw Data'!L80),0)</f>
        <v>7549</v>
      </c>
      <c r="M80" s="18">
        <f>IFERROR(ABS('📂 Raw Data'!M80),0)</f>
        <v>3783</v>
      </c>
      <c r="N80" s="18">
        <f t="shared" si="1"/>
        <v>106005</v>
      </c>
      <c r="O80" s="16">
        <f>IFERROR(ABS('📂 Raw Data'!O80),0)</f>
        <v>20</v>
      </c>
      <c r="P80" s="20">
        <v>40</v>
      </c>
      <c r="Q80" s="19" t="str">
        <f>'📂 Raw Data'!Q80</f>
        <v>Good</v>
      </c>
      <c r="R80" s="55" t="str">
        <f>'📂 Raw Data'!R80</f>
        <v>On Leave</v>
      </c>
    </row>
    <row r="81" spans="1:18" ht="18" customHeight="1">
      <c r="A81" s="54" t="str">
        <f>'📂 Raw Data'!A81</f>
        <v>EMP1079</v>
      </c>
      <c r="B81" s="16" t="str">
        <f>PROPER(TRIM('📂 Raw Data'!B81))</f>
        <v>Geeta Das</v>
      </c>
      <c r="C81" s="16">
        <f>'📂 Raw Data'!C81</f>
        <v>27</v>
      </c>
      <c r="D81" s="16" t="str">
        <f>IF(OR('📂 Raw Data'!D81="M",'📂 Raw Data'!D81="m"),"Male",IF(OR('📂 Raw Data'!D81="F",'📂 Raw Data'!D81="f"),"Female",PROPER('📂 Raw Data'!D81)))</f>
        <v>Female</v>
      </c>
      <c r="E81" s="17" t="str">
        <f>UPPER(TRIM('📂 Raw Data'!E81))</f>
        <v>OPERATIONS</v>
      </c>
      <c r="F81" s="16" t="str">
        <f>PROPER(TRIM('📂 Raw Data'!F81))</f>
        <v>Operations Executive</v>
      </c>
      <c r="G81" s="16" t="str">
        <f>IFERROR(IF(ISNUMBER('📂 Raw Data'!G81),TEXT('📂 Raw Data'!G81,"DD-MMM-YYYY"),TEXT(DATEVALUE('📂 Raw Data'!G81),"DD-MMM-YYYY")),"Invalid Date")</f>
        <v>17-Dec-2016</v>
      </c>
      <c r="H81" s="16" t="str">
        <f>PROPER(TRIM('📂 Raw Data'!H81))</f>
        <v>Mumbai</v>
      </c>
      <c r="I81" s="18">
        <f>IFERROR(IF(ISNUMBER('📂 Raw Data'!I81),ABS('📂 Raw Data'!I81),0),0)</f>
        <v>53197</v>
      </c>
      <c r="J81" s="18">
        <f>IFERROR(ABS('📂 Raw Data'!J81),0)</f>
        <v>19962</v>
      </c>
      <c r="K81" s="18">
        <f>IFERROR(ABS('📂 Raw Data'!K81),0)</f>
        <v>9432</v>
      </c>
      <c r="L81" s="18">
        <f>IFERROR(ABS('📂 Raw Data'!L81),0)</f>
        <v>2792</v>
      </c>
      <c r="M81" s="18">
        <f>IFERROR(ABS('📂 Raw Data'!M81),0)</f>
        <v>2289</v>
      </c>
      <c r="N81" s="18">
        <f t="shared" si="1"/>
        <v>87672</v>
      </c>
      <c r="O81" s="16">
        <f>IFERROR(ABS('📂 Raw Data'!O81),0)</f>
        <v>20</v>
      </c>
      <c r="P81" s="16">
        <v>59</v>
      </c>
      <c r="Q81" s="19" t="str">
        <f>'📂 Raw Data'!Q81</f>
        <v>Poor</v>
      </c>
      <c r="R81" s="55" t="str">
        <f>'📂 Raw Data'!R81</f>
        <v>Active</v>
      </c>
    </row>
    <row r="82" spans="1:18" ht="18" customHeight="1">
      <c r="A82" s="54" t="str">
        <f>'📂 Raw Data'!A82</f>
        <v>EMP1080</v>
      </c>
      <c r="B82" s="16" t="str">
        <f>PROPER(TRIM('📂 Raw Data'!B82))</f>
        <v>Vimal Iyer</v>
      </c>
      <c r="C82" s="16">
        <f>'📂 Raw Data'!C82</f>
        <v>44</v>
      </c>
      <c r="D82" s="16" t="str">
        <f>IF(OR('📂 Raw Data'!D82="M",'📂 Raw Data'!D82="m"),"Male",IF(OR('📂 Raw Data'!D82="F",'📂 Raw Data'!D82="f"),"Female",PROPER('📂 Raw Data'!D82)))</f>
        <v>Male</v>
      </c>
      <c r="E82" s="17" t="str">
        <f>UPPER(TRIM('📂 Raw Data'!E82))</f>
        <v>ENGINEERING</v>
      </c>
      <c r="F82" s="16" t="str">
        <f>PROPER(TRIM('📂 Raw Data'!F82))</f>
        <v>Software Engineer</v>
      </c>
      <c r="G82" s="16" t="str">
        <f>IFERROR(IF(ISNUMBER('📂 Raw Data'!G82),TEXT('📂 Raw Data'!G82,"DD-MMM-YYYY"),TEXT(DATEVALUE('📂 Raw Data'!G82),"DD-MMM-YYYY")),"Invalid Date")</f>
        <v>22-Aug-2019</v>
      </c>
      <c r="H82" s="16" t="str">
        <f>PROPER(TRIM('📂 Raw Data'!H82))</f>
        <v>Chennai</v>
      </c>
      <c r="I82" s="18">
        <f>IFERROR(IF(ISNUMBER('📂 Raw Data'!I82),ABS('📂 Raw Data'!I82),0),0)</f>
        <v>80576</v>
      </c>
      <c r="J82" s="18">
        <f>IFERROR(ABS('📂 Raw Data'!J82),0)</f>
        <v>31999</v>
      </c>
      <c r="K82" s="18">
        <f>IFERROR(ABS('📂 Raw Data'!K82),0)</f>
        <v>9242</v>
      </c>
      <c r="L82" s="18">
        <f>IFERROR(ABS('📂 Raw Data'!L82),0)</f>
        <v>3392</v>
      </c>
      <c r="M82" s="18">
        <f>IFERROR(ABS('📂 Raw Data'!M82),0)</f>
        <v>3237</v>
      </c>
      <c r="N82" s="18">
        <f t="shared" si="1"/>
        <v>128446</v>
      </c>
      <c r="O82" s="16">
        <f>IFERROR(ABS('📂 Raw Data'!O82),0)</f>
        <v>18</v>
      </c>
      <c r="P82" s="20">
        <v>88</v>
      </c>
      <c r="Q82" s="19" t="str">
        <f>'📂 Raw Data'!Q82</f>
        <v>Poor</v>
      </c>
      <c r="R82" s="55" t="str">
        <f>'📂 Raw Data'!R82</f>
        <v>Active</v>
      </c>
    </row>
    <row r="83" spans="1:18" ht="18" customHeight="1">
      <c r="A83" s="54" t="str">
        <f>'📂 Raw Data'!A83</f>
        <v>EMP1081</v>
      </c>
      <c r="B83" s="16" t="str">
        <f>PROPER(TRIM('📂 Raw Data'!B83))</f>
        <v>Esha Shah</v>
      </c>
      <c r="C83" s="16">
        <f>'📂 Raw Data'!C83</f>
        <v>40</v>
      </c>
      <c r="D83" s="16" t="str">
        <f>IF(OR('📂 Raw Data'!D83="M",'📂 Raw Data'!D83="m"),"Male",IF(OR('📂 Raw Data'!D83="F",'📂 Raw Data'!D83="f"),"Female",PROPER('📂 Raw Data'!D83)))</f>
        <v>Female</v>
      </c>
      <c r="E83" s="17" t="str">
        <f>UPPER(TRIM('📂 Raw Data'!E83))</f>
        <v>FINANCE</v>
      </c>
      <c r="F83" s="16" t="str">
        <f>PROPER(TRIM('📂 Raw Data'!F83))</f>
        <v>Finance Manager</v>
      </c>
      <c r="G83" s="16" t="str">
        <f>IFERROR(IF(ISNUMBER('📂 Raw Data'!G83),TEXT('📂 Raw Data'!G83,"DD-MMM-YYYY"),TEXT(DATEVALUE('📂 Raw Data'!G83),"DD-MMM-YYYY")),"Invalid Date")</f>
        <v>04-Jan-2015</v>
      </c>
      <c r="H83" s="16" t="str">
        <f>PROPER(TRIM('📂 Raw Data'!H83))</f>
        <v>Bangalore</v>
      </c>
      <c r="I83" s="18">
        <f>IFERROR(IF(ISNUMBER('📂 Raw Data'!I83),ABS('📂 Raw Data'!I83),0),0)</f>
        <v>103554</v>
      </c>
      <c r="J83" s="18">
        <f>IFERROR(ABS('📂 Raw Data'!J83),0)</f>
        <v>32201</v>
      </c>
      <c r="K83" s="18">
        <f>IFERROR(ABS('📂 Raw Data'!K83),0)</f>
        <v>5349</v>
      </c>
      <c r="L83" s="18">
        <f>IFERROR(ABS('📂 Raw Data'!L83),0)</f>
        <v>2469</v>
      </c>
      <c r="M83" s="18">
        <f>IFERROR(ABS('📂 Raw Data'!M83),0)</f>
        <v>2730</v>
      </c>
      <c r="N83" s="18">
        <f t="shared" si="1"/>
        <v>146303</v>
      </c>
      <c r="O83" s="16">
        <f>IFERROR(ABS('📂 Raw Data'!O83),0)</f>
        <v>17</v>
      </c>
      <c r="P83" s="16">
        <v>88</v>
      </c>
      <c r="Q83" s="19" t="str">
        <f>'📂 Raw Data'!Q83</f>
        <v>Below Average</v>
      </c>
      <c r="R83" s="55" t="str">
        <f>'📂 Raw Data'!R83</f>
        <v>Active</v>
      </c>
    </row>
    <row r="84" spans="1:18" ht="18" customHeight="1">
      <c r="A84" s="54" t="str">
        <f>'📂 Raw Data'!A84</f>
        <v>EMP1082</v>
      </c>
      <c r="B84" s="16" t="str">
        <f>PROPER(TRIM('📂 Raw Data'!B84))</f>
        <v>Nikhil Joshi</v>
      </c>
      <c r="C84" s="16">
        <f>'📂 Raw Data'!C84</f>
        <v>49</v>
      </c>
      <c r="D84" s="16" t="str">
        <f>IF(OR('📂 Raw Data'!D84="M",'📂 Raw Data'!D84="m"),"Male",IF(OR('📂 Raw Data'!D84="F",'📂 Raw Data'!D84="f"),"Female",PROPER('📂 Raw Data'!D84)))</f>
        <v>Male</v>
      </c>
      <c r="E84" s="17" t="str">
        <f>UPPER(TRIM('📂 Raw Data'!E84))</f>
        <v>SALES</v>
      </c>
      <c r="F84" s="16" t="str">
        <f>PROPER(TRIM('📂 Raw Data'!F84))</f>
        <v>Senior Sales</v>
      </c>
      <c r="G84" s="16" t="str">
        <f>IFERROR(IF(ISNUMBER('📂 Raw Data'!G84),TEXT('📂 Raw Data'!G84,"DD-MMM-YYYY"),TEXT(DATEVALUE('📂 Raw Data'!G84),"DD-MMM-YYYY")),"Invalid Date")</f>
        <v>23-Sep-2021</v>
      </c>
      <c r="H84" s="16" t="str">
        <f>PROPER(TRIM('📂 Raw Data'!H84))</f>
        <v>Mumbai</v>
      </c>
      <c r="I84" s="18">
        <f>IFERROR(IF(ISNUMBER('📂 Raw Data'!I84),ABS('📂 Raw Data'!I84),0),0)</f>
        <v>55161</v>
      </c>
      <c r="J84" s="18">
        <f>IFERROR(ABS('📂 Raw Data'!J84),0)</f>
        <v>22067</v>
      </c>
      <c r="K84" s="18">
        <f>IFERROR(ABS('📂 Raw Data'!K84),0)</f>
        <v>12945</v>
      </c>
      <c r="L84" s="18">
        <f>IFERROR(ABS('📂 Raw Data'!L84),0)</f>
        <v>6604</v>
      </c>
      <c r="M84" s="18">
        <f>IFERROR(ABS('📂 Raw Data'!M84),0)</f>
        <v>3901</v>
      </c>
      <c r="N84" s="18">
        <f t="shared" si="1"/>
        <v>100678</v>
      </c>
      <c r="O84" s="16">
        <f>IFERROR(ABS('📂 Raw Data'!O84),0)</f>
        <v>16</v>
      </c>
      <c r="P84" s="20">
        <v>65</v>
      </c>
      <c r="Q84" s="19" t="str">
        <f>'📂 Raw Data'!Q84</f>
        <v>Poor</v>
      </c>
      <c r="R84" s="55" t="str">
        <f>'📂 Raw Data'!R84</f>
        <v>Active</v>
      </c>
    </row>
    <row r="85" spans="1:18" ht="18" customHeight="1">
      <c r="A85" s="54" t="str">
        <f>'📂 Raw Data'!A85</f>
        <v>EMP1083</v>
      </c>
      <c r="B85" s="16" t="str">
        <f>PROPER(TRIM('📂 Raw Data'!B85))</f>
        <v>Ekta Islam</v>
      </c>
      <c r="C85" s="16">
        <f>'📂 Raw Data'!C85</f>
        <v>27</v>
      </c>
      <c r="D85" s="16" t="str">
        <f>IF(OR('📂 Raw Data'!D85="M",'📂 Raw Data'!D85="m"),"Male",IF(OR('📂 Raw Data'!D85="F",'📂 Raw Data'!D85="f"),"Female",PROPER('📂 Raw Data'!D85)))</f>
        <v>Female</v>
      </c>
      <c r="E85" s="17" t="str">
        <f>UPPER(TRIM('📂 Raw Data'!E85))</f>
        <v>FINANCE</v>
      </c>
      <c r="F85" s="16" t="str">
        <f>PROPER(TRIM('📂 Raw Data'!F85))</f>
        <v>Auditor</v>
      </c>
      <c r="G85" s="16" t="str">
        <f>IFERROR(IF(ISNUMBER('📂 Raw Data'!G85),TEXT('📂 Raw Data'!G85,"DD-MMM-YYYY"),TEXT(DATEVALUE('📂 Raw Data'!G85),"DD-MMM-YYYY")),"Invalid Date")</f>
        <v>04-May-2021</v>
      </c>
      <c r="H85" s="16" t="str">
        <f>PROPER(TRIM('📂 Raw Data'!H85))</f>
        <v>Chennai</v>
      </c>
      <c r="I85" s="18">
        <f>IFERROR(IF(ISNUMBER('📂 Raw Data'!I85),ABS('📂 Raw Data'!I85),0),0)</f>
        <v>78088</v>
      </c>
      <c r="J85" s="18">
        <f>IFERROR(ABS('📂 Raw Data'!J85),0)</f>
        <v>23752</v>
      </c>
      <c r="K85" s="18">
        <f>IFERROR(ABS('📂 Raw Data'!K85),0)</f>
        <v>7321</v>
      </c>
      <c r="L85" s="18">
        <f>IFERROR(ABS('📂 Raw Data'!L85),0)</f>
        <v>1407</v>
      </c>
      <c r="M85" s="18">
        <f>IFERROR(ABS('📂 Raw Data'!M85),0)</f>
        <v>7564</v>
      </c>
      <c r="N85" s="18">
        <f t="shared" si="1"/>
        <v>118132</v>
      </c>
      <c r="O85" s="16">
        <f>IFERROR(ABS('📂 Raw Data'!O85),0)</f>
        <v>24</v>
      </c>
      <c r="P85" s="16">
        <v>69</v>
      </c>
      <c r="Q85" s="19" t="str">
        <f>'📂 Raw Data'!Q85</f>
        <v>Poor</v>
      </c>
      <c r="R85" s="55" t="str">
        <f>'📂 Raw Data'!R85</f>
        <v>Active</v>
      </c>
    </row>
    <row r="86" spans="1:18" ht="18" customHeight="1">
      <c r="A86" s="54" t="str">
        <f>'📂 Raw Data'!A86</f>
        <v>EMP1084</v>
      </c>
      <c r="B86" s="16" t="str">
        <f>PROPER(TRIM('📂 Raw Data'!B86))</f>
        <v>Lokesh Thakur</v>
      </c>
      <c r="C86" s="16">
        <f>'📂 Raw Data'!C86</f>
        <v>55</v>
      </c>
      <c r="D86" s="16" t="str">
        <f>IF(OR('📂 Raw Data'!D86="M",'📂 Raw Data'!D86="m"),"Male",IF(OR('📂 Raw Data'!D86="F",'📂 Raw Data'!D86="f"),"Female",PROPER('📂 Raw Data'!D86)))</f>
        <v>Male</v>
      </c>
      <c r="E86" s="17" t="str">
        <f>UPPER(TRIM('📂 Raw Data'!E86))</f>
        <v>FINANCE</v>
      </c>
      <c r="F86" s="16" t="str">
        <f>PROPER(TRIM('📂 Raw Data'!F86))</f>
        <v>Accountant</v>
      </c>
      <c r="G86" s="16" t="str">
        <f>IFERROR(IF(ISNUMBER('📂 Raw Data'!G86),TEXT('📂 Raw Data'!G86,"DD-MMM-YYYY"),TEXT(DATEVALUE('📂 Raw Data'!G86),"DD-MMM-YYYY")),"Invalid Date")</f>
        <v>24-May-2021</v>
      </c>
      <c r="H86" s="16" t="str">
        <f>PROPER(TRIM('📂 Raw Data'!H86))</f>
        <v>Hyderabad</v>
      </c>
      <c r="I86" s="18">
        <f>IFERROR(IF(ISNUMBER('📂 Raw Data'!I86),ABS('📂 Raw Data'!I86),0),0)</f>
        <v>69500</v>
      </c>
      <c r="J86" s="18">
        <f>IFERROR(ABS('📂 Raw Data'!J86),0)</f>
        <v>23930</v>
      </c>
      <c r="K86" s="18">
        <f>IFERROR(ABS('📂 Raw Data'!K86),0)</f>
        <v>14765</v>
      </c>
      <c r="L86" s="18">
        <f>IFERROR(ABS('📂 Raw Data'!L86),0)</f>
        <v>1377</v>
      </c>
      <c r="M86" s="18">
        <f>IFERROR(ABS('📂 Raw Data'!M86),0)</f>
        <v>1625</v>
      </c>
      <c r="N86" s="18">
        <f t="shared" si="1"/>
        <v>111197</v>
      </c>
      <c r="O86" s="16">
        <f>IFERROR(ABS('📂 Raw Data'!O86),0)</f>
        <v>23</v>
      </c>
      <c r="P86" s="20">
        <v>80</v>
      </c>
      <c r="Q86" s="19" t="str">
        <f>'📂 Raw Data'!Q86</f>
        <v>Average</v>
      </c>
      <c r="R86" s="55" t="str">
        <f>'📂 Raw Data'!R86</f>
        <v>Active</v>
      </c>
    </row>
    <row r="87" spans="1:18" ht="18" customHeight="1">
      <c r="A87" s="54" t="str">
        <f>'📂 Raw Data'!A87</f>
        <v>EMP1085</v>
      </c>
      <c r="B87" s="16" t="str">
        <f>PROPER(TRIM('📂 Raw Data'!B87))</f>
        <v>Farhan Pandey</v>
      </c>
      <c r="C87" s="16">
        <f>'📂 Raw Data'!C87</f>
        <v>53</v>
      </c>
      <c r="D87" s="16" t="str">
        <f>IF(OR('📂 Raw Data'!D87="M",'📂 Raw Data'!D87="m"),"Male",IF(OR('📂 Raw Data'!D87="F",'📂 Raw Data'!D87="f"),"Female",PROPER('📂 Raw Data'!D87)))</f>
        <v>Male</v>
      </c>
      <c r="E87" s="17" t="str">
        <f>UPPER(TRIM('📂 Raw Data'!E87))</f>
        <v>OPERATIONS</v>
      </c>
      <c r="F87" s="16" t="str">
        <f>PROPER(TRIM('📂 Raw Data'!F87))</f>
        <v>Logistics Manager</v>
      </c>
      <c r="G87" s="16" t="str">
        <f>IFERROR(IF(ISNUMBER('📂 Raw Data'!G87),TEXT('📂 Raw Data'!G87,"DD-MMM-YYYY"),TEXT(DATEVALUE('📂 Raw Data'!G87),"DD-MMM-YYYY")),"Invalid Date")</f>
        <v>05-Feb-2018</v>
      </c>
      <c r="H87" s="16" t="str">
        <f>PROPER(TRIM('📂 Raw Data'!H87))</f>
        <v>Chennai</v>
      </c>
      <c r="I87" s="18">
        <f>IFERROR(IF(ISNUMBER('📂 Raw Data'!I87),ABS('📂 Raw Data'!I87),0),0)</f>
        <v>58550</v>
      </c>
      <c r="J87" s="18">
        <f>IFERROR(ABS('📂 Raw Data'!J87),0)</f>
        <v>19875</v>
      </c>
      <c r="K87" s="18">
        <f>IFERROR(ABS('📂 Raw Data'!K87),0)</f>
        <v>11869</v>
      </c>
      <c r="L87" s="18">
        <f>IFERROR(ABS('📂 Raw Data'!L87),0)</f>
        <v>1252</v>
      </c>
      <c r="M87" s="18">
        <f>IFERROR(ABS('📂 Raw Data'!M87),0)</f>
        <v>7227</v>
      </c>
      <c r="N87" s="18">
        <f t="shared" si="1"/>
        <v>98773</v>
      </c>
      <c r="O87" s="16">
        <f>IFERROR(ABS('📂 Raw Data'!O87),0)</f>
        <v>25</v>
      </c>
      <c r="P87" s="16">
        <v>44</v>
      </c>
      <c r="Q87" s="19" t="str">
        <f>'📂 Raw Data'!Q87</f>
        <v>Below Average</v>
      </c>
      <c r="R87" s="55" t="str">
        <f>'📂 Raw Data'!R87</f>
        <v>Resigned</v>
      </c>
    </row>
    <row r="88" spans="1:18" ht="18" customHeight="1">
      <c r="A88" s="54" t="str">
        <f>'📂 Raw Data'!A88</f>
        <v>EMP1086</v>
      </c>
      <c r="B88" s="16" t="str">
        <f>PROPER(TRIM('📂 Raw Data'!B88))</f>
        <v>Arjun Nair</v>
      </c>
      <c r="C88" s="16">
        <f>'📂 Raw Data'!C88</f>
        <v>44</v>
      </c>
      <c r="D88" s="16" t="str">
        <f>IF(OR('📂 Raw Data'!D88="M",'📂 Raw Data'!D88="m"),"Male",IF(OR('📂 Raw Data'!D88="F",'📂 Raw Data'!D88="f"),"Female",PROPER('📂 Raw Data'!D88)))</f>
        <v>Male</v>
      </c>
      <c r="E88" s="17" t="str">
        <f>UPPER(TRIM('📂 Raw Data'!E88))</f>
        <v>OPERATIONS</v>
      </c>
      <c r="F88" s="16" t="str">
        <f>PROPER(TRIM('📂 Raw Data'!F88))</f>
        <v>Admin Officer</v>
      </c>
      <c r="G88" s="16" t="str">
        <f>IFERROR(IF(ISNUMBER('📂 Raw Data'!G88),TEXT('📂 Raw Data'!G88,"DD-MMM-YYYY"),TEXT(DATEVALUE('📂 Raw Data'!G88),"DD-MMM-YYYY")),"Invalid Date")</f>
        <v>15-Mar-2020</v>
      </c>
      <c r="H88" s="16" t="str">
        <f>PROPER(TRIM('📂 Raw Data'!H88))</f>
        <v>Hyderabad</v>
      </c>
      <c r="I88" s="18">
        <f>IFERROR(IF(ISNUMBER('📂 Raw Data'!I88),ABS('📂 Raw Data'!I88),0),0)</f>
        <v>33950</v>
      </c>
      <c r="J88" s="18">
        <f>IFERROR(ABS('📂 Raw Data'!J88),0)</f>
        <v>13369</v>
      </c>
      <c r="K88" s="18">
        <f>IFERROR(ABS('📂 Raw Data'!K88),0)</f>
        <v>12344</v>
      </c>
      <c r="L88" s="18">
        <f>IFERROR(ABS('📂 Raw Data'!L88),0)</f>
        <v>2480</v>
      </c>
      <c r="M88" s="18">
        <f>IFERROR(ABS('📂 Raw Data'!M88),0)</f>
        <v>7523</v>
      </c>
      <c r="N88" s="18">
        <f t="shared" si="1"/>
        <v>69666</v>
      </c>
      <c r="O88" s="16">
        <f>IFERROR(ABS('📂 Raw Data'!O88),0)</f>
        <v>19</v>
      </c>
      <c r="P88" s="20">
        <v>77</v>
      </c>
      <c r="Q88" s="19" t="str">
        <f>'📂 Raw Data'!Q88</f>
        <v>Below Average</v>
      </c>
      <c r="R88" s="55" t="str">
        <f>'📂 Raw Data'!R88</f>
        <v>Active</v>
      </c>
    </row>
    <row r="89" spans="1:18" ht="18" customHeight="1">
      <c r="A89" s="54" t="str">
        <f>'📂 Raw Data'!A89</f>
        <v>EMP1087</v>
      </c>
      <c r="B89" s="16" t="str">
        <f>PROPER(TRIM('📂 Raw Data'!B89))</f>
        <v>Bina Fernandez</v>
      </c>
      <c r="C89" s="16">
        <f>'📂 Raw Data'!C89</f>
        <v>24</v>
      </c>
      <c r="D89" s="16" t="str">
        <f>IF(OR('📂 Raw Data'!D89="M",'📂 Raw Data'!D89="m"),"Male",IF(OR('📂 Raw Data'!D89="F",'📂 Raw Data'!D89="f"),"Female",PROPER('📂 Raw Data'!D89)))</f>
        <v>Female</v>
      </c>
      <c r="E89" s="17" t="str">
        <f>UPPER(TRIM('📂 Raw Data'!E89))</f>
        <v>ENGINEERING</v>
      </c>
      <c r="F89" s="16" t="str">
        <f>PROPER(TRIM('📂 Raw Data'!F89))</f>
        <v>Software Engineer</v>
      </c>
      <c r="G89" s="16" t="str">
        <f>IFERROR(IF(ISNUMBER('📂 Raw Data'!G89),TEXT('📂 Raw Data'!G89,"DD-MMM-YYYY"),TEXT(DATEVALUE('📂 Raw Data'!G89),"DD-MMM-YYYY")),"Invalid Date")</f>
        <v>03-May-2020</v>
      </c>
      <c r="H89" s="16" t="str">
        <f>PROPER(TRIM('📂 Raw Data'!H89))</f>
        <v>Chennai</v>
      </c>
      <c r="I89" s="18">
        <f>IFERROR(IF(ISNUMBER('📂 Raw Data'!I89),ABS('📂 Raw Data'!I89),0),0)</f>
        <v>109497</v>
      </c>
      <c r="J89" s="18">
        <f>IFERROR(ABS('📂 Raw Data'!J89),0)</f>
        <v>51776</v>
      </c>
      <c r="K89" s="18">
        <f>IFERROR(ABS('📂 Raw Data'!K89),0)</f>
        <v>3479</v>
      </c>
      <c r="L89" s="18">
        <f>IFERROR(ABS('📂 Raw Data'!L89),0)</f>
        <v>5038</v>
      </c>
      <c r="M89" s="18">
        <f>IFERROR(ABS('📂 Raw Data'!M89),0)</f>
        <v>5866</v>
      </c>
      <c r="N89" s="18">
        <f t="shared" si="1"/>
        <v>175656</v>
      </c>
      <c r="O89" s="16">
        <f>IFERROR(ABS('📂 Raw Data'!O89),0)</f>
        <v>23</v>
      </c>
      <c r="P89" s="16">
        <v>64</v>
      </c>
      <c r="Q89" s="19" t="str">
        <f>'📂 Raw Data'!Q89</f>
        <v>Average</v>
      </c>
      <c r="R89" s="55" t="str">
        <f>'📂 Raw Data'!R89</f>
        <v>Resigned</v>
      </c>
    </row>
    <row r="90" spans="1:18" ht="18" customHeight="1">
      <c r="A90" s="54" t="str">
        <f>'📂 Raw Data'!A90</f>
        <v>EMP1088</v>
      </c>
      <c r="B90" s="16" t="str">
        <f>PROPER(TRIM('📂 Raw Data'!B90))</f>
        <v>Xena Kapoor</v>
      </c>
      <c r="C90" s="16">
        <f>'📂 Raw Data'!C90</f>
        <v>24</v>
      </c>
      <c r="D90" s="16" t="str">
        <f>IF(OR('📂 Raw Data'!D90="M",'📂 Raw Data'!D90="m"),"Male",IF(OR('📂 Raw Data'!D90="F",'📂 Raw Data'!D90="f"),"Female",PROPER('📂 Raw Data'!D90)))</f>
        <v>Male</v>
      </c>
      <c r="E90" s="17" t="str">
        <f>UPPER(TRIM('📂 Raw Data'!E90))</f>
        <v>MARKETING</v>
      </c>
      <c r="F90" s="16" t="str">
        <f>PROPER(TRIM('📂 Raw Data'!F90))</f>
        <v>Brand Manager</v>
      </c>
      <c r="G90" s="16" t="str">
        <f>IFERROR(IF(ISNUMBER('📂 Raw Data'!G90),TEXT('📂 Raw Data'!G90,"DD-MMM-YYYY"),TEXT(DATEVALUE('📂 Raw Data'!G90),"DD-MMM-YYYY")),"Invalid Date")</f>
        <v>02-Mar-2023</v>
      </c>
      <c r="H90" s="16" t="str">
        <f>PROPER(TRIM('📂 Raw Data'!H90))</f>
        <v>Delhi</v>
      </c>
      <c r="I90" s="18">
        <f>IFERROR(IF(ISNUMBER('📂 Raw Data'!I90),ABS('📂 Raw Data'!I90),0),0)</f>
        <v>84050</v>
      </c>
      <c r="J90" s="18">
        <f>IFERROR(ABS('📂 Raw Data'!J90),0)</f>
        <v>26955</v>
      </c>
      <c r="K90" s="18">
        <f>IFERROR(ABS('📂 Raw Data'!K90),0)</f>
        <v>7626</v>
      </c>
      <c r="L90" s="18">
        <f>IFERROR(ABS('📂 Raw Data'!L90),0)</f>
        <v>5851</v>
      </c>
      <c r="M90" s="18">
        <f>IFERROR(ABS('📂 Raw Data'!M90),0)</f>
        <v>1690</v>
      </c>
      <c r="N90" s="18">
        <f t="shared" si="1"/>
        <v>126172</v>
      </c>
      <c r="O90" s="16">
        <f>IFERROR(ABS('📂 Raw Data'!O90),0)</f>
        <v>23</v>
      </c>
      <c r="P90" s="20">
        <v>81</v>
      </c>
      <c r="Q90" s="19" t="str">
        <f>'📂 Raw Data'!Q90</f>
        <v>Poor</v>
      </c>
      <c r="R90" s="55" t="str">
        <f>'📂 Raw Data'!R90</f>
        <v>On Leave</v>
      </c>
    </row>
    <row r="91" spans="1:18" ht="18" customHeight="1">
      <c r="A91" s="54" t="str">
        <f>'📂 Raw Data'!A91</f>
        <v>EMP1089</v>
      </c>
      <c r="B91" s="16" t="str">
        <f>PROPER(TRIM('📂 Raw Data'!B91))</f>
        <v>Hina Iyer</v>
      </c>
      <c r="C91" s="16">
        <f>'📂 Raw Data'!C91</f>
        <v>26</v>
      </c>
      <c r="D91" s="16" t="str">
        <f>IF(OR('📂 Raw Data'!D91="M",'📂 Raw Data'!D91="m"),"Male",IF(OR('📂 Raw Data'!D91="F",'📂 Raw Data'!D91="f"),"Female",PROPER('📂 Raw Data'!D91)))</f>
        <v>Female</v>
      </c>
      <c r="E91" s="17" t="str">
        <f>UPPER(TRIM('📂 Raw Data'!E91))</f>
        <v>MARKETING</v>
      </c>
      <c r="F91" s="16" t="str">
        <f>PROPER(TRIM('📂 Raw Data'!F91))</f>
        <v>Content Writer</v>
      </c>
      <c r="G91" s="16" t="str">
        <f>IFERROR(IF(ISNUMBER('📂 Raw Data'!G91),TEXT('📂 Raw Data'!G91,"DD-MMM-YYYY"),TEXT(DATEVALUE('📂 Raw Data'!G91),"DD-MMM-YYYY")),"Invalid Date")</f>
        <v>10-Jun-2020</v>
      </c>
      <c r="H91" s="16" t="str">
        <f>PROPER(TRIM('📂 Raw Data'!H91))</f>
        <v>Bangalore</v>
      </c>
      <c r="I91" s="18">
        <f>IFERROR(IF(ISNUMBER('📂 Raw Data'!I91),ABS('📂 Raw Data'!I91),0),0)</f>
        <v>75779</v>
      </c>
      <c r="J91" s="18">
        <f>IFERROR(ABS('📂 Raw Data'!J91),0)</f>
        <v>28929</v>
      </c>
      <c r="K91" s="18">
        <f>IFERROR(ABS('📂 Raw Data'!K91),0)</f>
        <v>7543</v>
      </c>
      <c r="L91" s="18">
        <f>IFERROR(ABS('📂 Raw Data'!L91),0)</f>
        <v>5561</v>
      </c>
      <c r="M91" s="18">
        <f>IFERROR(ABS('📂 Raw Data'!M91),0)</f>
        <v>5897</v>
      </c>
      <c r="N91" s="18">
        <f t="shared" si="1"/>
        <v>123709</v>
      </c>
      <c r="O91" s="16">
        <f>IFERROR(ABS('📂 Raw Data'!O91),0)</f>
        <v>15</v>
      </c>
      <c r="P91" s="16">
        <v>90</v>
      </c>
      <c r="Q91" s="19" t="str">
        <f>'📂 Raw Data'!Q91</f>
        <v>Below Average</v>
      </c>
      <c r="R91" s="55" t="str">
        <f>'📂 Raw Data'!R91</f>
        <v>Active</v>
      </c>
    </row>
    <row r="92" spans="1:18" ht="18" customHeight="1">
      <c r="A92" s="54" t="str">
        <f>'📂 Raw Data'!A92</f>
        <v>EMP1090</v>
      </c>
      <c r="B92" s="16" t="str">
        <f>PROPER(TRIM('📂 Raw Data'!B92))</f>
        <v>Sanjay Ghosh</v>
      </c>
      <c r="C92" s="16">
        <f>'📂 Raw Data'!C92</f>
        <v>30</v>
      </c>
      <c r="D92" s="16" t="str">
        <f>IF(OR('📂 Raw Data'!D92="M",'📂 Raw Data'!D92="m"),"Male",IF(OR('📂 Raw Data'!D92="F",'📂 Raw Data'!D92="f"),"Female",PROPER('📂 Raw Data'!D92)))</f>
        <v>Female</v>
      </c>
      <c r="E92" s="17" t="str">
        <f>UPPER(TRIM('📂 Raw Data'!E92))</f>
        <v>HR</v>
      </c>
      <c r="F92" s="16" t="str">
        <f>PROPER(TRIM('📂 Raw Data'!F92))</f>
        <v>Recruiter</v>
      </c>
      <c r="G92" s="16" t="str">
        <f>IFERROR(IF(ISNUMBER('📂 Raw Data'!G92),TEXT('📂 Raw Data'!G92,"DD-MMM-YYYY"),TEXT(DATEVALUE('📂 Raw Data'!G92),"DD-MMM-YYYY")),"Invalid Date")</f>
        <v>03-Jun-2017</v>
      </c>
      <c r="H92" s="16" t="str">
        <f>PROPER(TRIM('📂 Raw Data'!H92))</f>
        <v>Hyderabad</v>
      </c>
      <c r="I92" s="18">
        <f>IFERROR(IF(ISNUMBER('📂 Raw Data'!I92),ABS('📂 Raw Data'!I92),0),0)</f>
        <v>101380</v>
      </c>
      <c r="J92" s="18">
        <f>IFERROR(ABS('📂 Raw Data'!J92),0)</f>
        <v>43869</v>
      </c>
      <c r="K92" s="18">
        <f>IFERROR(ABS('📂 Raw Data'!K92),0)</f>
        <v>7731</v>
      </c>
      <c r="L92" s="18">
        <f>IFERROR(ABS('📂 Raw Data'!L92),0)</f>
        <v>2541</v>
      </c>
      <c r="M92" s="18">
        <f>IFERROR(ABS('📂 Raw Data'!M92),0)</f>
        <v>6374</v>
      </c>
      <c r="N92" s="18">
        <f t="shared" si="1"/>
        <v>161895</v>
      </c>
      <c r="O92" s="16">
        <f>IFERROR(ABS('📂 Raw Data'!O92),0)</f>
        <v>26</v>
      </c>
      <c r="P92" s="20">
        <v>82</v>
      </c>
      <c r="Q92" s="19" t="str">
        <f>'📂 Raw Data'!Q92</f>
        <v>Poor</v>
      </c>
      <c r="R92" s="55" t="str">
        <f>'📂 Raw Data'!R92</f>
        <v>On Leave</v>
      </c>
    </row>
    <row r="93" spans="1:18" ht="18" customHeight="1">
      <c r="A93" s="54" t="str">
        <f>'📂 Raw Data'!A93</f>
        <v>EMP1091</v>
      </c>
      <c r="B93" s="16" t="str">
        <f>PROPER(TRIM('📂 Raw Data'!B93))</f>
        <v>Inder Qadir</v>
      </c>
      <c r="C93" s="16">
        <f>'📂 Raw Data'!C93</f>
        <v>23</v>
      </c>
      <c r="D93" s="16" t="str">
        <f>IF(OR('📂 Raw Data'!D93="M",'📂 Raw Data'!D93="m"),"Male",IF(OR('📂 Raw Data'!D93="F",'📂 Raw Data'!D93="f"),"Female",PROPER('📂 Raw Data'!D93)))</f>
        <v>Female</v>
      </c>
      <c r="E93" s="17" t="str">
        <f>UPPER(TRIM('📂 Raw Data'!E93))</f>
        <v>FINANCE</v>
      </c>
      <c r="F93" s="16" t="str">
        <f>PROPER(TRIM('📂 Raw Data'!F93))</f>
        <v>Finance Manager</v>
      </c>
      <c r="G93" s="16" t="str">
        <f>IFERROR(IF(ISNUMBER('📂 Raw Data'!G93),TEXT('📂 Raw Data'!G93,"DD-MMM-YYYY"),TEXT(DATEVALUE('📂 Raw Data'!G93),"DD-MMM-YYYY")),"Invalid Date")</f>
        <v>23-Nov-2017</v>
      </c>
      <c r="H93" s="16" t="str">
        <f>PROPER(TRIM('📂 Raw Data'!H93))</f>
        <v>Bangalore</v>
      </c>
      <c r="I93" s="18">
        <f>IFERROR(IF(ISNUMBER('📂 Raw Data'!I93),ABS('📂 Raw Data'!I93),0),0)</f>
        <v>114838</v>
      </c>
      <c r="J93" s="18">
        <f>IFERROR(ABS('📂 Raw Data'!J93),0)</f>
        <v>55408</v>
      </c>
      <c r="K93" s="18">
        <f>IFERROR(ABS('📂 Raw Data'!K93),0)</f>
        <v>3531</v>
      </c>
      <c r="L93" s="18">
        <f>IFERROR(ABS('📂 Raw Data'!L93),0)</f>
        <v>5292</v>
      </c>
      <c r="M93" s="18">
        <f>IFERROR(ABS('📂 Raw Data'!M93),0)</f>
        <v>6492</v>
      </c>
      <c r="N93" s="18">
        <f t="shared" si="1"/>
        <v>185561</v>
      </c>
      <c r="O93" s="16">
        <f>IFERROR(ABS('📂 Raw Data'!O93),0)</f>
        <v>21</v>
      </c>
      <c r="P93" s="16">
        <v>72</v>
      </c>
      <c r="Q93" s="19" t="str">
        <f>'📂 Raw Data'!Q93</f>
        <v>Average</v>
      </c>
      <c r="R93" s="55" t="str">
        <f>'📂 Raw Data'!R93</f>
        <v>Active</v>
      </c>
    </row>
    <row r="94" spans="1:18" ht="18" customHeight="1">
      <c r="A94" s="54" t="str">
        <f>'📂 Raw Data'!A94</f>
        <v>EMP1092</v>
      </c>
      <c r="B94" s="16" t="str">
        <f>PROPER(TRIM('📂 Raw Data'!B94))</f>
        <v>Karan Bhatia</v>
      </c>
      <c r="C94" s="16">
        <f>'📂 Raw Data'!C94</f>
        <v>43</v>
      </c>
      <c r="D94" s="16" t="str">
        <f>IF(OR('📂 Raw Data'!D94="M",'📂 Raw Data'!D94="m"),"Male",IF(OR('📂 Raw Data'!D94="F",'📂 Raw Data'!D94="f"),"Female",PROPER('📂 Raw Data'!D94)))</f>
        <v>Male</v>
      </c>
      <c r="E94" s="17" t="str">
        <f>UPPER(TRIM('📂 Raw Data'!E94))</f>
        <v>FINANCE</v>
      </c>
      <c r="F94" s="16" t="str">
        <f>PROPER(TRIM('📂 Raw Data'!F94))</f>
        <v>Senior Accountant</v>
      </c>
      <c r="G94" s="16" t="str">
        <f>IFERROR(IF(ISNUMBER('📂 Raw Data'!G94),TEXT('📂 Raw Data'!G94,"DD-MMM-YYYY"),TEXT(DATEVALUE('📂 Raw Data'!G94),"DD-MMM-YYYY")),"Invalid Date")</f>
        <v>05-Mar-2018</v>
      </c>
      <c r="H94" s="16" t="str">
        <f>PROPER(TRIM('📂 Raw Data'!H94))</f>
        <v>Kolkata</v>
      </c>
      <c r="I94" s="18">
        <f>IFERROR(IF(ISNUMBER('📂 Raw Data'!I94),ABS('📂 Raw Data'!I94),0),0)</f>
        <v>35114</v>
      </c>
      <c r="J94" s="18">
        <f>IFERROR(ABS('📂 Raw Data'!J94),0)</f>
        <v>12611</v>
      </c>
      <c r="K94" s="18">
        <f>IFERROR(ABS('📂 Raw Data'!K94),0)</f>
        <v>14912</v>
      </c>
      <c r="L94" s="18">
        <f>IFERROR(ABS('📂 Raw Data'!L94),0)</f>
        <v>828</v>
      </c>
      <c r="M94" s="18">
        <f>IFERROR(ABS('📂 Raw Data'!M94),0)</f>
        <v>5158</v>
      </c>
      <c r="N94" s="18">
        <f t="shared" si="1"/>
        <v>68623</v>
      </c>
      <c r="O94" s="16">
        <f>IFERROR(ABS('📂 Raw Data'!O94),0)</f>
        <v>23</v>
      </c>
      <c r="P94" s="20">
        <v>93</v>
      </c>
      <c r="Q94" s="19" t="str">
        <f>'📂 Raw Data'!Q94</f>
        <v>Below Average</v>
      </c>
      <c r="R94" s="55" t="str">
        <f>'📂 Raw Data'!R94</f>
        <v>Resigned</v>
      </c>
    </row>
    <row r="95" spans="1:18" ht="18" customHeight="1">
      <c r="A95" s="54" t="str">
        <f>'📂 Raw Data'!A95</f>
        <v>EMP1093</v>
      </c>
      <c r="B95" s="16" t="str">
        <f>PROPER(TRIM('📂 Raw Data'!B95))</f>
        <v>Vimal Das</v>
      </c>
      <c r="C95" s="16">
        <f>'📂 Raw Data'!C95</f>
        <v>37</v>
      </c>
      <c r="D95" s="16" t="str">
        <f>IF(OR('📂 Raw Data'!D95="M",'📂 Raw Data'!D95="m"),"Male",IF(OR('📂 Raw Data'!D95="F",'📂 Raw Data'!D95="f"),"Female",PROPER('📂 Raw Data'!D95)))</f>
        <v>Female</v>
      </c>
      <c r="E95" s="17" t="str">
        <f>UPPER(TRIM('📂 Raw Data'!E95))</f>
        <v>SALES</v>
      </c>
      <c r="F95" s="16" t="str">
        <f>PROPER(TRIM('📂 Raw Data'!F95))</f>
        <v>Senior Sales</v>
      </c>
      <c r="G95" s="16" t="str">
        <f>IFERROR(IF(ISNUMBER('📂 Raw Data'!G95),TEXT('📂 Raw Data'!G95,"DD-MMM-YYYY"),TEXT(DATEVALUE('📂 Raw Data'!G95),"DD-MMM-YYYY")),"Invalid Date")</f>
        <v>25-Dec-2017</v>
      </c>
      <c r="H95" s="16" t="str">
        <f>PROPER(TRIM('📂 Raw Data'!H95))</f>
        <v>Chennai</v>
      </c>
      <c r="I95" s="18">
        <f>IFERROR(IF(ISNUMBER('📂 Raw Data'!I95),ABS('📂 Raw Data'!I95),0),0)</f>
        <v>106885</v>
      </c>
      <c r="J95" s="18">
        <f>IFERROR(ABS('📂 Raw Data'!J95),0)</f>
        <v>49360</v>
      </c>
      <c r="K95" s="18">
        <f>IFERROR(ABS('📂 Raw Data'!K95),0)</f>
        <v>4712</v>
      </c>
      <c r="L95" s="18">
        <f>IFERROR(ABS('📂 Raw Data'!L95),0)</f>
        <v>5907</v>
      </c>
      <c r="M95" s="18">
        <f>IFERROR(ABS('📂 Raw Data'!M95),0)</f>
        <v>4585</v>
      </c>
      <c r="N95" s="18">
        <f t="shared" si="1"/>
        <v>171449</v>
      </c>
      <c r="O95" s="16">
        <f>IFERROR(ABS('📂 Raw Data'!O95),0)</f>
        <v>15</v>
      </c>
      <c r="P95" s="16">
        <v>66</v>
      </c>
      <c r="Q95" s="19" t="str">
        <f>'📂 Raw Data'!Q95</f>
        <v>Below Average</v>
      </c>
      <c r="R95" s="55" t="str">
        <f>'📂 Raw Data'!R95</f>
        <v>Resigned</v>
      </c>
    </row>
    <row r="96" spans="1:18" ht="18" customHeight="1">
      <c r="A96" s="54" t="str">
        <f>'📂 Raw Data'!A96</f>
        <v>EMP1094</v>
      </c>
      <c r="B96" s="16" t="str">
        <f>PROPER(TRIM('📂 Raw Data'!B96))</f>
        <v>Geeta Subramaniam</v>
      </c>
      <c r="C96" s="16">
        <f>'📂 Raw Data'!C96</f>
        <v>54</v>
      </c>
      <c r="D96" s="16" t="str">
        <f>IF(OR('📂 Raw Data'!D96="M",'📂 Raw Data'!D96="m"),"Male",IF(OR('📂 Raw Data'!D96="F",'📂 Raw Data'!D96="f"),"Female",PROPER('📂 Raw Data'!D96)))</f>
        <v>Female</v>
      </c>
      <c r="E96" s="17" t="str">
        <f>UPPER(TRIM('📂 Raw Data'!E96))</f>
        <v>SALES</v>
      </c>
      <c r="F96" s="16" t="str">
        <f>PROPER(TRIM('📂 Raw Data'!F96))</f>
        <v>Senior Sales</v>
      </c>
      <c r="G96" s="16" t="str">
        <f>IFERROR(IF(ISNUMBER('📂 Raw Data'!G96),TEXT('📂 Raw Data'!G96,"DD-MMM-YYYY"),TEXT(DATEVALUE('📂 Raw Data'!G96),"DD-MMM-YYYY")),"Invalid Date")</f>
        <v>27-Aug-2019</v>
      </c>
      <c r="H96" s="16" t="str">
        <f>PROPER(TRIM('📂 Raw Data'!H96))</f>
        <v>Hyderabad</v>
      </c>
      <c r="I96" s="18">
        <f>IFERROR(IF(ISNUMBER('📂 Raw Data'!I96),ABS('📂 Raw Data'!I96),0),0)</f>
        <v>50430</v>
      </c>
      <c r="J96" s="18">
        <f>IFERROR(ABS('📂 Raw Data'!J96),0)</f>
        <v>18839</v>
      </c>
      <c r="K96" s="18">
        <f>IFERROR(ABS('📂 Raw Data'!K96),0)</f>
        <v>11345</v>
      </c>
      <c r="L96" s="18">
        <f>IFERROR(ABS('📂 Raw Data'!L96),0)</f>
        <v>3609</v>
      </c>
      <c r="M96" s="18">
        <f>IFERROR(ABS('📂 Raw Data'!M96),0)</f>
        <v>4782</v>
      </c>
      <c r="N96" s="18">
        <f t="shared" si="1"/>
        <v>89005</v>
      </c>
      <c r="O96" s="16">
        <f>IFERROR(ABS('📂 Raw Data'!O96),0)</f>
        <v>19</v>
      </c>
      <c r="P96" s="20">
        <v>89</v>
      </c>
      <c r="Q96" s="19" t="str">
        <f>'📂 Raw Data'!Q96</f>
        <v>Good</v>
      </c>
      <c r="R96" s="55" t="str">
        <f>'📂 Raw Data'!R96</f>
        <v>Active</v>
      </c>
    </row>
    <row r="97" spans="1:18" ht="18" customHeight="1">
      <c r="A97" s="54" t="str">
        <f>'📂 Raw Data'!A97</f>
        <v>EMP1095</v>
      </c>
      <c r="B97" s="16" t="str">
        <f>PROPER(TRIM('📂 Raw Data'!B97))</f>
        <v>Shreya Kapoor</v>
      </c>
      <c r="C97" s="16">
        <f>'📂 Raw Data'!C97</f>
        <v>40</v>
      </c>
      <c r="D97" s="16" t="str">
        <f>IF(OR('📂 Raw Data'!D97="M",'📂 Raw Data'!D97="m"),"Male",IF(OR('📂 Raw Data'!D97="F",'📂 Raw Data'!D97="f"),"Female",PROPER('📂 Raw Data'!D97)))</f>
        <v>Male</v>
      </c>
      <c r="E97" s="17" t="str">
        <f>UPPER(TRIM('📂 Raw Data'!E97))</f>
        <v>MARKETING</v>
      </c>
      <c r="F97" s="16" t="str">
        <f>PROPER(TRIM('📂 Raw Data'!F97))</f>
        <v>Content Writer</v>
      </c>
      <c r="G97" s="16" t="str">
        <f>IFERROR(IF(ISNUMBER('📂 Raw Data'!G97),TEXT('📂 Raw Data'!G97,"DD-MMM-YYYY"),TEXT(DATEVALUE('📂 Raw Data'!G97),"DD-MMM-YYYY")),"Invalid Date")</f>
        <v>21-Jan-2019</v>
      </c>
      <c r="H97" s="16" t="str">
        <f>PROPER(TRIM('📂 Raw Data'!H97))</f>
        <v>Mumbai</v>
      </c>
      <c r="I97" s="18">
        <f>IFERROR(IF(ISNUMBER('📂 Raw Data'!I97),ABS('📂 Raw Data'!I97),0),0)</f>
        <v>87991</v>
      </c>
      <c r="J97" s="18">
        <f>IFERROR(ABS('📂 Raw Data'!J97),0)</f>
        <v>41780</v>
      </c>
      <c r="K97" s="18">
        <f>IFERROR(ABS('📂 Raw Data'!K97),0)</f>
        <v>11085</v>
      </c>
      <c r="L97" s="18">
        <f>IFERROR(ABS('📂 Raw Data'!L97),0)</f>
        <v>7653</v>
      </c>
      <c r="M97" s="18">
        <f>IFERROR(ABS('📂 Raw Data'!M97),0)</f>
        <v>1840</v>
      </c>
      <c r="N97" s="18">
        <f t="shared" si="1"/>
        <v>150349</v>
      </c>
      <c r="O97" s="16">
        <f>IFERROR(ABS('📂 Raw Data'!O97),0)</f>
        <v>26</v>
      </c>
      <c r="P97" s="16">
        <v>94</v>
      </c>
      <c r="Q97" s="19" t="str">
        <f>'📂 Raw Data'!Q97</f>
        <v>Poor</v>
      </c>
      <c r="R97" s="55" t="str">
        <f>'📂 Raw Data'!R97</f>
        <v>Active</v>
      </c>
    </row>
    <row r="98" spans="1:18" ht="18" customHeight="1">
      <c r="A98" s="54" t="str">
        <f>'📂 Raw Data'!A98</f>
        <v>EMP1096</v>
      </c>
      <c r="B98" s="16" t="str">
        <f>PROPER(TRIM('📂 Raw Data'!B98))</f>
        <v>Tarun Mathur</v>
      </c>
      <c r="C98" s="16">
        <f>'📂 Raw Data'!C98</f>
        <v>37</v>
      </c>
      <c r="D98" s="16" t="str">
        <f>IF(OR('📂 Raw Data'!D98="M",'📂 Raw Data'!D98="m"),"Male",IF(OR('📂 Raw Data'!D98="F",'📂 Raw Data'!D98="f"),"Female",PROPER('📂 Raw Data'!D98)))</f>
        <v>Female</v>
      </c>
      <c r="E98" s="17" t="str">
        <f>UPPER(TRIM('📂 Raw Data'!E98))</f>
        <v>SALES</v>
      </c>
      <c r="F98" s="16" t="str">
        <f>PROPER(TRIM('📂 Raw Data'!F98))</f>
        <v>Business Dev</v>
      </c>
      <c r="G98" s="16" t="str">
        <f>IFERROR(IF(ISNUMBER('📂 Raw Data'!G98),TEXT('📂 Raw Data'!G98,"DD-MMM-YYYY"),TEXT(DATEVALUE('📂 Raw Data'!G98),"DD-MMM-YYYY")),"Invalid Date")</f>
        <v>27-Apr-2016</v>
      </c>
      <c r="H98" s="16" t="str">
        <f>PROPER(TRIM('📂 Raw Data'!H98))</f>
        <v>Chennai</v>
      </c>
      <c r="I98" s="18">
        <f>IFERROR(IF(ISNUMBER('📂 Raw Data'!I98),ABS('📂 Raw Data'!I98),0),0)</f>
        <v>84130</v>
      </c>
      <c r="J98" s="18">
        <f>IFERROR(ABS('📂 Raw Data'!J98),0)</f>
        <v>40124</v>
      </c>
      <c r="K98" s="18">
        <f>IFERROR(ABS('📂 Raw Data'!K98),0)</f>
        <v>2436</v>
      </c>
      <c r="L98" s="18">
        <f>IFERROR(ABS('📂 Raw Data'!L98),0)</f>
        <v>3398</v>
      </c>
      <c r="M98" s="18">
        <f>IFERROR(ABS('📂 Raw Data'!M98),0)</f>
        <v>1436</v>
      </c>
      <c r="N98" s="18">
        <f t="shared" si="1"/>
        <v>131524</v>
      </c>
      <c r="O98" s="16">
        <f>IFERROR(ABS('📂 Raw Data'!O98),0)</f>
        <v>21</v>
      </c>
      <c r="P98" s="20">
        <v>72</v>
      </c>
      <c r="Q98" s="19" t="str">
        <f>'📂 Raw Data'!Q98</f>
        <v>Excellent</v>
      </c>
      <c r="R98" s="55" t="str">
        <f>'📂 Raw Data'!R98</f>
        <v>Active</v>
      </c>
    </row>
    <row r="99" spans="1:18" ht="18" customHeight="1">
      <c r="A99" s="54" t="str">
        <f>'📂 Raw Data'!A99</f>
        <v>EMP1097</v>
      </c>
      <c r="B99" s="16" t="str">
        <f>PROPER(TRIM('📂 Raw Data'!B99))</f>
        <v>Sanjay Yadav</v>
      </c>
      <c r="C99" s="16">
        <f>'📂 Raw Data'!C99</f>
        <v>50</v>
      </c>
      <c r="D99" s="16" t="str">
        <f>IF(OR('📂 Raw Data'!D99="M",'📂 Raw Data'!D99="m"),"Male",IF(OR('📂 Raw Data'!D99="F",'📂 Raw Data'!D99="f"),"Female",PROPER('📂 Raw Data'!D99)))</f>
        <v>Female</v>
      </c>
      <c r="E99" s="17" t="str">
        <f>UPPER(TRIM('📂 Raw Data'!E99))</f>
        <v>HR</v>
      </c>
      <c r="F99" s="16" t="str">
        <f>PROPER(TRIM('📂 Raw Data'!F99))</f>
        <v>Hr Executive</v>
      </c>
      <c r="G99" s="16" t="str">
        <f>IFERROR(IF(ISNUMBER('📂 Raw Data'!G99),TEXT('📂 Raw Data'!G99,"DD-MMM-YYYY"),TEXT(DATEVALUE('📂 Raw Data'!G99),"DD-MMM-YYYY")),"Invalid Date")</f>
        <v>05-Mar-2020</v>
      </c>
      <c r="H99" s="16" t="str">
        <f>PROPER(TRIM('📂 Raw Data'!H99))</f>
        <v>Hyderabad</v>
      </c>
      <c r="I99" s="18">
        <f>IFERROR(IF(ISNUMBER('📂 Raw Data'!I99),ABS('📂 Raw Data'!I99),0),0)</f>
        <v>30020</v>
      </c>
      <c r="J99" s="18">
        <f>IFERROR(ABS('📂 Raw Data'!J99),0)</f>
        <v>10728</v>
      </c>
      <c r="K99" s="18">
        <f>IFERROR(ABS('📂 Raw Data'!K99),0)</f>
        <v>9740</v>
      </c>
      <c r="L99" s="18">
        <f>IFERROR(ABS('📂 Raw Data'!L99),0)</f>
        <v>5702</v>
      </c>
      <c r="M99" s="18">
        <f>IFERROR(ABS('📂 Raw Data'!M99),0)</f>
        <v>7808</v>
      </c>
      <c r="N99" s="18">
        <f t="shared" si="1"/>
        <v>63998</v>
      </c>
      <c r="O99" s="16">
        <f>IFERROR(ABS('📂 Raw Data'!O99),0)</f>
        <v>17</v>
      </c>
      <c r="P99" s="16">
        <v>88</v>
      </c>
      <c r="Q99" s="19" t="str">
        <f>'📂 Raw Data'!Q99</f>
        <v>Average</v>
      </c>
      <c r="R99" s="55" t="str">
        <f>'📂 Raw Data'!R99</f>
        <v>Active</v>
      </c>
    </row>
    <row r="100" spans="1:18" ht="18" customHeight="1">
      <c r="A100" s="54" t="str">
        <f>'📂 Raw Data'!A100</f>
        <v>EMP1098</v>
      </c>
      <c r="B100" s="16" t="str">
        <f>PROPER(TRIM('📂 Raw Data'!B100))</f>
        <v>Meera Gupta</v>
      </c>
      <c r="C100" s="16">
        <f>'📂 Raw Data'!C100</f>
        <v>37</v>
      </c>
      <c r="D100" s="16" t="str">
        <f>IF(OR('📂 Raw Data'!D100="M",'📂 Raw Data'!D100="m"),"Male",IF(OR('📂 Raw Data'!D100="F",'📂 Raw Data'!D100="f"),"Female",PROPER('📂 Raw Data'!D100)))</f>
        <v>Male</v>
      </c>
      <c r="E100" s="17" t="str">
        <f>UPPER(TRIM('📂 Raw Data'!E100))</f>
        <v>SALES</v>
      </c>
      <c r="F100" s="16" t="str">
        <f>PROPER(TRIM('📂 Raw Data'!F100))</f>
        <v>Senior Sales</v>
      </c>
      <c r="G100" s="16" t="str">
        <f>IFERROR(IF(ISNUMBER('📂 Raw Data'!G100),TEXT('📂 Raw Data'!G100,"DD-MMM-YYYY"),TEXT(DATEVALUE('📂 Raw Data'!G100),"DD-MMM-YYYY")),"Invalid Date")</f>
        <v>20-Dec-2023</v>
      </c>
      <c r="H100" s="16" t="str">
        <f>PROPER(TRIM('📂 Raw Data'!H100))</f>
        <v>Chennai</v>
      </c>
      <c r="I100" s="18">
        <f>IFERROR(IF(ISNUMBER('📂 Raw Data'!I100),ABS('📂 Raw Data'!I100),0),0)</f>
        <v>94176</v>
      </c>
      <c r="J100" s="18">
        <f>IFERROR(ABS('📂 Raw Data'!J100),0)</f>
        <v>36225</v>
      </c>
      <c r="K100" s="18">
        <f>IFERROR(ABS('📂 Raw Data'!K100),0)</f>
        <v>14716</v>
      </c>
      <c r="L100" s="18">
        <f>IFERROR(ABS('📂 Raw Data'!L100),0)</f>
        <v>2360</v>
      </c>
      <c r="M100" s="18">
        <f>IFERROR(ABS('📂 Raw Data'!M100),0)</f>
        <v>2946</v>
      </c>
      <c r="N100" s="18">
        <f t="shared" si="1"/>
        <v>150423</v>
      </c>
      <c r="O100" s="16">
        <f>IFERROR(ABS('📂 Raw Data'!O100),0)</f>
        <v>19</v>
      </c>
      <c r="P100" s="20">
        <v>47</v>
      </c>
      <c r="Q100" s="19" t="str">
        <f>'📂 Raw Data'!Q100</f>
        <v>Below Average</v>
      </c>
      <c r="R100" s="55" t="str">
        <f>'📂 Raw Data'!R100</f>
        <v>On Leave</v>
      </c>
    </row>
    <row r="101" spans="1:18" ht="18" customHeight="1">
      <c r="A101" s="54" t="str">
        <f>'📂 Raw Data'!A101</f>
        <v>EMP1099</v>
      </c>
      <c r="B101" s="16" t="str">
        <f>PROPER(TRIM('📂 Raw Data'!B101))</f>
        <v>Ekta Hassan</v>
      </c>
      <c r="C101" s="16">
        <f>'📂 Raw Data'!C101</f>
        <v>22</v>
      </c>
      <c r="D101" s="16" t="str">
        <f>IF(OR('📂 Raw Data'!D101="M",'📂 Raw Data'!D101="m"),"Male",IF(OR('📂 Raw Data'!D101="F",'📂 Raw Data'!D101="f"),"Female",PROPER('📂 Raw Data'!D101)))</f>
        <v>Female</v>
      </c>
      <c r="E101" s="17" t="str">
        <f>UPPER(TRIM('📂 Raw Data'!E101))</f>
        <v>ENGINEERING</v>
      </c>
      <c r="F101" s="16" t="str">
        <f>PROPER(TRIM('📂 Raw Data'!F101))</f>
        <v>Software Engineer</v>
      </c>
      <c r="G101" s="16" t="str">
        <f>IFERROR(IF(ISNUMBER('📂 Raw Data'!G101),TEXT('📂 Raw Data'!G101,"DD-MMM-YYYY"),TEXT(DATEVALUE('📂 Raw Data'!G101),"DD-MMM-YYYY")),"Invalid Date")</f>
        <v>18-Oct-2022</v>
      </c>
      <c r="H101" s="16" t="str">
        <f>PROPER(TRIM('📂 Raw Data'!H101))</f>
        <v>Hyderabad</v>
      </c>
      <c r="I101" s="18">
        <f>IFERROR(IF(ISNUMBER('📂 Raw Data'!I101),ABS('📂 Raw Data'!I101),0),0)</f>
        <v>27154</v>
      </c>
      <c r="J101" s="18">
        <f>IFERROR(ABS('📂 Raw Data'!J101),0)</f>
        <v>11578</v>
      </c>
      <c r="K101" s="18">
        <f>IFERROR(ABS('📂 Raw Data'!K101),0)</f>
        <v>11421</v>
      </c>
      <c r="L101" s="18">
        <f>IFERROR(ABS('📂 Raw Data'!L101),0)</f>
        <v>1981</v>
      </c>
      <c r="M101" s="18">
        <f>IFERROR(ABS('📂 Raw Data'!M101),0)</f>
        <v>6886</v>
      </c>
      <c r="N101" s="18">
        <f t="shared" si="1"/>
        <v>59020</v>
      </c>
      <c r="O101" s="16">
        <f>IFERROR(ABS('📂 Raw Data'!O101),0)</f>
        <v>17</v>
      </c>
      <c r="P101" s="16">
        <v>58</v>
      </c>
      <c r="Q101" s="19" t="str">
        <f>'📂 Raw Data'!Q101</f>
        <v>Below Average</v>
      </c>
      <c r="R101" s="55" t="str">
        <f>'📂 Raw Data'!R101</f>
        <v>Active</v>
      </c>
    </row>
    <row r="102" spans="1:18" ht="18" customHeight="1">
      <c r="A102" s="54" t="str">
        <f>'📂 Raw Data'!A102</f>
        <v>EMP1100</v>
      </c>
      <c r="B102" s="16" t="str">
        <f>PROPER(TRIM('📂 Raw Data'!B102))</f>
        <v>Tarun Bahl</v>
      </c>
      <c r="C102" s="16">
        <f>'📂 Raw Data'!C102</f>
        <v>24</v>
      </c>
      <c r="D102" s="16" t="str">
        <f>IF(OR('📂 Raw Data'!D102="M",'📂 Raw Data'!D102="m"),"Male",IF(OR('📂 Raw Data'!D102="F",'📂 Raw Data'!D102="f"),"Female",PROPER('📂 Raw Data'!D102)))</f>
        <v>Female</v>
      </c>
      <c r="E102" s="17" t="str">
        <f>UPPER(TRIM('📂 Raw Data'!E102))</f>
        <v>SALES</v>
      </c>
      <c r="F102" s="16" t="str">
        <f>PROPER(TRIM('📂 Raw Data'!F102))</f>
        <v>Sales Executive</v>
      </c>
      <c r="G102" s="16" t="str">
        <f>IFERROR(IF(ISNUMBER('📂 Raw Data'!G102),TEXT('📂 Raw Data'!G102,"DD-MMM-YYYY"),TEXT(DATEVALUE('📂 Raw Data'!G102),"DD-MMM-YYYY")),"Invalid Date")</f>
        <v>03-Jun-2023</v>
      </c>
      <c r="H102" s="16" t="str">
        <f>PROPER(TRIM('📂 Raw Data'!H102))</f>
        <v>Pune</v>
      </c>
      <c r="I102" s="18">
        <f>IFERROR(IF(ISNUMBER('📂 Raw Data'!I102),ABS('📂 Raw Data'!I102),0),0)</f>
        <v>93951</v>
      </c>
      <c r="J102" s="18">
        <f>IFERROR(ABS('📂 Raw Data'!J102),0)</f>
        <v>38409</v>
      </c>
      <c r="K102" s="18">
        <f>IFERROR(ABS('📂 Raw Data'!K102),0)</f>
        <v>14884</v>
      </c>
      <c r="L102" s="18">
        <f>IFERROR(ABS('📂 Raw Data'!L102),0)</f>
        <v>4158</v>
      </c>
      <c r="M102" s="18">
        <f>IFERROR(ABS('📂 Raw Data'!M102),0)</f>
        <v>5539</v>
      </c>
      <c r="N102" s="18">
        <f t="shared" si="1"/>
        <v>156941</v>
      </c>
      <c r="O102" s="16">
        <f>IFERROR(ABS('📂 Raw Data'!O102),0)</f>
        <v>15</v>
      </c>
      <c r="P102" s="20">
        <v>64</v>
      </c>
      <c r="Q102" s="19" t="str">
        <f>'📂 Raw Data'!Q102</f>
        <v>Excellent</v>
      </c>
      <c r="R102" s="55" t="str">
        <f>'📂 Raw Data'!R102</f>
        <v>Active</v>
      </c>
    </row>
    <row r="103" spans="1:18" ht="18" customHeight="1">
      <c r="A103" s="54" t="str">
        <f>'📂 Raw Data'!A103</f>
        <v>EMP1101</v>
      </c>
      <c r="B103" s="16" t="str">
        <f>PROPER(TRIM('📂 Raw Data'!B103))</f>
        <v>Waqar Mehta</v>
      </c>
      <c r="C103" s="16">
        <f>'📂 Raw Data'!C103</f>
        <v>44</v>
      </c>
      <c r="D103" s="16" t="str">
        <f>IF(OR('📂 Raw Data'!D103="M",'📂 Raw Data'!D103="m"),"Male",IF(OR('📂 Raw Data'!D103="F",'📂 Raw Data'!D103="f"),"Female",PROPER('📂 Raw Data'!D103)))</f>
        <v>Male</v>
      </c>
      <c r="E103" s="17" t="str">
        <f>UPPER(TRIM('📂 Raw Data'!E103))</f>
        <v>HR</v>
      </c>
      <c r="F103" s="16" t="str">
        <f>PROPER(TRIM('📂 Raw Data'!F103))</f>
        <v>Hr Executive</v>
      </c>
      <c r="G103" s="16" t="str">
        <f>IFERROR(IF(ISNUMBER('📂 Raw Data'!G103),TEXT('📂 Raw Data'!G103,"DD-MMM-YYYY"),TEXT(DATEVALUE('📂 Raw Data'!G103),"DD-MMM-YYYY")),"Invalid Date")</f>
        <v>04-Jan-2020</v>
      </c>
      <c r="H103" s="16" t="str">
        <f>PROPER(TRIM('📂 Raw Data'!H103))</f>
        <v>Hyderabad</v>
      </c>
      <c r="I103" s="18">
        <f>IFERROR(IF(ISNUMBER('📂 Raw Data'!I103),ABS('📂 Raw Data'!I103),0),0)</f>
        <v>0</v>
      </c>
      <c r="J103" s="18">
        <f>IFERROR(ABS('📂 Raw Data'!J103),0)</f>
        <v>47301</v>
      </c>
      <c r="K103" s="18">
        <f>IFERROR(ABS('📂 Raw Data'!K103),0)</f>
        <v>14640</v>
      </c>
      <c r="L103" s="18">
        <f>IFERROR(ABS('📂 Raw Data'!L103),0)</f>
        <v>4766</v>
      </c>
      <c r="M103" s="18">
        <f>IFERROR(ABS('📂 Raw Data'!M103),0)</f>
        <v>7022</v>
      </c>
      <c r="N103" s="18">
        <f t="shared" si="1"/>
        <v>73729</v>
      </c>
      <c r="O103" s="16">
        <f>IFERROR(ABS('📂 Raw Data'!O103),0)</f>
        <v>20</v>
      </c>
      <c r="P103" s="16">
        <v>48</v>
      </c>
      <c r="Q103" s="19" t="str">
        <f>'📂 Raw Data'!Q103</f>
        <v>Good</v>
      </c>
      <c r="R103" s="55" t="str">
        <f>'📂 Raw Data'!R103</f>
        <v>Active</v>
      </c>
    </row>
    <row r="104" spans="1:18" ht="18" customHeight="1">
      <c r="A104" s="54" t="str">
        <f>'📂 Raw Data'!A104</f>
        <v>EMP1102</v>
      </c>
      <c r="B104" s="16" t="str">
        <f>PROPER(TRIM('📂 Raw Data'!B104))</f>
        <v>Zeba Joshi</v>
      </c>
      <c r="C104" s="16">
        <f>'📂 Raw Data'!C104</f>
        <v>24</v>
      </c>
      <c r="D104" s="16" t="str">
        <f>IF(OR('📂 Raw Data'!D104="M",'📂 Raw Data'!D104="m"),"Male",IF(OR('📂 Raw Data'!D104="F",'📂 Raw Data'!D104="f"),"Female",PROPER('📂 Raw Data'!D104)))</f>
        <v>Male</v>
      </c>
      <c r="E104" s="17" t="str">
        <f>UPPER(TRIM('📂 Raw Data'!E104))</f>
        <v>OPERATIONS</v>
      </c>
      <c r="F104" s="16" t="str">
        <f>PROPER(TRIM('📂 Raw Data'!F104))</f>
        <v>Coordinator</v>
      </c>
      <c r="G104" s="16" t="str">
        <f>IFERROR(IF(ISNUMBER('📂 Raw Data'!G104),TEXT('📂 Raw Data'!G104,"DD-MMM-YYYY"),TEXT(DATEVALUE('📂 Raw Data'!G104),"DD-MMM-YYYY")),"Invalid Date")</f>
        <v>06-Nov-2022</v>
      </c>
      <c r="H104" s="16" t="str">
        <f>PROPER(TRIM('📂 Raw Data'!H104))</f>
        <v>Kolkata</v>
      </c>
      <c r="I104" s="18">
        <f>IFERROR(IF(ISNUMBER('📂 Raw Data'!I104),ABS('📂 Raw Data'!I104),0),0)</f>
        <v>42675</v>
      </c>
      <c r="J104" s="18">
        <f>IFERROR(ABS('📂 Raw Data'!J104),0)</f>
        <v>13341</v>
      </c>
      <c r="K104" s="18">
        <f>IFERROR(ABS('📂 Raw Data'!K104),0)</f>
        <v>14717</v>
      </c>
      <c r="L104" s="18">
        <f>IFERROR(ABS('📂 Raw Data'!L104),0)</f>
        <v>7730</v>
      </c>
      <c r="M104" s="18">
        <f>IFERROR(ABS('📂 Raw Data'!M104),0)</f>
        <v>4749</v>
      </c>
      <c r="N104" s="18">
        <f t="shared" si="1"/>
        <v>83212</v>
      </c>
      <c r="O104" s="16">
        <f>IFERROR(ABS('📂 Raw Data'!O104),0)</f>
        <v>15</v>
      </c>
      <c r="P104" s="20">
        <v>58</v>
      </c>
      <c r="Q104" s="19" t="str">
        <f>'📂 Raw Data'!Q104</f>
        <v>Average</v>
      </c>
      <c r="R104" s="55" t="str">
        <f>'📂 Raw Data'!R104</f>
        <v>Active</v>
      </c>
    </row>
    <row r="105" spans="1:18" ht="18" customHeight="1">
      <c r="A105" s="54" t="str">
        <f>'📂 Raw Data'!A105</f>
        <v>EMP1103</v>
      </c>
      <c r="B105" s="16" t="str">
        <f>PROPER(TRIM('📂 Raw Data'!B105))</f>
        <v>Zara Zafar</v>
      </c>
      <c r="C105" s="16">
        <f>'📂 Raw Data'!C105</f>
        <v>39</v>
      </c>
      <c r="D105" s="16" t="str">
        <f>IF(OR('📂 Raw Data'!D105="M",'📂 Raw Data'!D105="m"),"Male",IF(OR('📂 Raw Data'!D105="F",'📂 Raw Data'!D105="f"),"Female",PROPER('📂 Raw Data'!D105)))</f>
        <v>Female</v>
      </c>
      <c r="E105" s="17" t="str">
        <f>UPPER(TRIM('📂 Raw Data'!E105))</f>
        <v>MARKETING</v>
      </c>
      <c r="F105" s="16" t="str">
        <f>PROPER(TRIM('📂 Raw Data'!F105))</f>
        <v>Brand Manager</v>
      </c>
      <c r="G105" s="16" t="str">
        <f>IFERROR(IF(ISNUMBER('📂 Raw Data'!G105),TEXT('📂 Raw Data'!G105,"DD-MMM-YYYY"),TEXT(DATEVALUE('📂 Raw Data'!G105),"DD-MMM-YYYY")),"Invalid Date")</f>
        <v>09-Aug-2023</v>
      </c>
      <c r="H105" s="16" t="str">
        <f>PROPER(TRIM('📂 Raw Data'!H105))</f>
        <v>Mumbai</v>
      </c>
      <c r="I105" s="18">
        <f>IFERROR(IF(ISNUMBER('📂 Raw Data'!I105),ABS('📂 Raw Data'!I105),0),0)</f>
        <v>29799</v>
      </c>
      <c r="J105" s="18">
        <f>IFERROR(ABS('📂 Raw Data'!J105),0)</f>
        <v>13429</v>
      </c>
      <c r="K105" s="18">
        <f>IFERROR(ABS('📂 Raw Data'!K105),0)</f>
        <v>5131</v>
      </c>
      <c r="L105" s="18">
        <f>IFERROR(ABS('📂 Raw Data'!L105),0)</f>
        <v>2343</v>
      </c>
      <c r="M105" s="18">
        <f>IFERROR(ABS('📂 Raw Data'!M105),0)</f>
        <v>3924</v>
      </c>
      <c r="N105" s="18">
        <f t="shared" si="1"/>
        <v>54626</v>
      </c>
      <c r="O105" s="16">
        <f>IFERROR(ABS('📂 Raw Data'!O105),0)</f>
        <v>15</v>
      </c>
      <c r="P105" s="16">
        <v>95</v>
      </c>
      <c r="Q105" s="19" t="str">
        <f>'📂 Raw Data'!Q105</f>
        <v>Below Average</v>
      </c>
      <c r="R105" s="55" t="str">
        <f>'📂 Raw Data'!R105</f>
        <v>Active</v>
      </c>
    </row>
    <row r="106" spans="1:18" ht="18" customHeight="1">
      <c r="A106" s="54" t="str">
        <f>'📂 Raw Data'!A106</f>
        <v>EMP1104</v>
      </c>
      <c r="B106" s="16" t="str">
        <f>PROPER(TRIM('📂 Raw Data'!B106))</f>
        <v>Waqar Sharma</v>
      </c>
      <c r="C106" s="16">
        <f>'📂 Raw Data'!C106</f>
        <v>27</v>
      </c>
      <c r="D106" s="16" t="str">
        <f>IF(OR('📂 Raw Data'!D106="M",'📂 Raw Data'!D106="m"),"Male",IF(OR('📂 Raw Data'!D106="F",'📂 Raw Data'!D106="f"),"Female",PROPER('📂 Raw Data'!D106)))</f>
        <v>Female</v>
      </c>
      <c r="E106" s="17" t="str">
        <f>UPPER(TRIM('📂 Raw Data'!E106))</f>
        <v>FINANCE</v>
      </c>
      <c r="F106" s="16" t="str">
        <f>PROPER(TRIM('📂 Raw Data'!F106))</f>
        <v>Finance Manager</v>
      </c>
      <c r="G106" s="16" t="str">
        <f>IFERROR(IF(ISNUMBER('📂 Raw Data'!G106),TEXT('📂 Raw Data'!G106,"DD-MMM-YYYY"),TEXT(DATEVALUE('📂 Raw Data'!G106),"DD-MMM-YYYY")),"Invalid Date")</f>
        <v>23-Aug-2017</v>
      </c>
      <c r="H106" s="16" t="str">
        <f>PROPER(TRIM('📂 Raw Data'!H106))</f>
        <v>Chennai</v>
      </c>
      <c r="I106" s="18">
        <f>IFERROR(IF(ISNUMBER('📂 Raw Data'!I106),ABS('📂 Raw Data'!I106),0),0)</f>
        <v>90211</v>
      </c>
      <c r="J106" s="18">
        <f>IFERROR(ABS('📂 Raw Data'!J106),0)</f>
        <v>33691</v>
      </c>
      <c r="K106" s="18">
        <f>IFERROR(ABS('📂 Raw Data'!K106),0)</f>
        <v>10507</v>
      </c>
      <c r="L106" s="18">
        <f>IFERROR(ABS('📂 Raw Data'!L106),0)</f>
        <v>2184</v>
      </c>
      <c r="M106" s="18">
        <f>IFERROR(ABS('📂 Raw Data'!M106),0)</f>
        <v>7563</v>
      </c>
      <c r="N106" s="18">
        <f t="shared" si="1"/>
        <v>144156</v>
      </c>
      <c r="O106" s="16">
        <f>IFERROR(ABS('📂 Raw Data'!O106),0)</f>
        <v>16</v>
      </c>
      <c r="P106" s="20">
        <v>86</v>
      </c>
      <c r="Q106" s="19" t="str">
        <f>'📂 Raw Data'!Q106</f>
        <v>Poor</v>
      </c>
      <c r="R106" s="55" t="str">
        <f>'📂 Raw Data'!R106</f>
        <v>Resigned</v>
      </c>
    </row>
    <row r="107" spans="1:18" ht="18" customHeight="1">
      <c r="A107" s="54" t="str">
        <f>'📂 Raw Data'!A107</f>
        <v>EMP1105</v>
      </c>
      <c r="B107" s="16" t="str">
        <f>PROPER(TRIM('📂 Raw Data'!B107))</f>
        <v>Chirag Thakur</v>
      </c>
      <c r="C107" s="16">
        <f>'📂 Raw Data'!C107</f>
        <v>44</v>
      </c>
      <c r="D107" s="16" t="str">
        <f>IF(OR('📂 Raw Data'!D107="M",'📂 Raw Data'!D107="m"),"Male",IF(OR('📂 Raw Data'!D107="F",'📂 Raw Data'!D107="f"),"Female",PROPER('📂 Raw Data'!D107)))</f>
        <v>Female</v>
      </c>
      <c r="E107" s="17" t="str">
        <f>UPPER(TRIM('📂 Raw Data'!E107))</f>
        <v>HR</v>
      </c>
      <c r="F107" s="16" t="str">
        <f>PROPER(TRIM('📂 Raw Data'!F107))</f>
        <v>Recruiter</v>
      </c>
      <c r="G107" s="16" t="str">
        <f>IFERROR(IF(ISNUMBER('📂 Raw Data'!G107),TEXT('📂 Raw Data'!G107,"DD-MMM-YYYY"),TEXT(DATEVALUE('📂 Raw Data'!G107),"DD-MMM-YYYY")),"Invalid Date")</f>
        <v>11-Feb-2016</v>
      </c>
      <c r="H107" s="16" t="str">
        <f>PROPER(TRIM('📂 Raw Data'!H107))</f>
        <v>Chennai</v>
      </c>
      <c r="I107" s="18">
        <f>IFERROR(IF(ISNUMBER('📂 Raw Data'!I107),ABS('📂 Raw Data'!I107),0),0)</f>
        <v>111628</v>
      </c>
      <c r="J107" s="18">
        <f>IFERROR(ABS('📂 Raw Data'!J107),0)</f>
        <v>40089</v>
      </c>
      <c r="K107" s="18">
        <f>IFERROR(ABS('📂 Raw Data'!K107),0)</f>
        <v>9305</v>
      </c>
      <c r="L107" s="18">
        <f>IFERROR(ABS('📂 Raw Data'!L107),0)</f>
        <v>4936</v>
      </c>
      <c r="M107" s="18">
        <f>IFERROR(ABS('📂 Raw Data'!M107),0)</f>
        <v>6879</v>
      </c>
      <c r="N107" s="18">
        <f t="shared" si="1"/>
        <v>172837</v>
      </c>
      <c r="O107" s="16">
        <f>IFERROR(ABS('📂 Raw Data'!O107),0)</f>
        <v>21</v>
      </c>
      <c r="P107" s="16">
        <v>50</v>
      </c>
      <c r="Q107" s="19" t="str">
        <f>'📂 Raw Data'!Q107</f>
        <v>Poor</v>
      </c>
      <c r="R107" s="55" t="str">
        <f>'📂 Raw Data'!R107</f>
        <v>Active</v>
      </c>
    </row>
    <row r="108" spans="1:18" ht="18" customHeight="1">
      <c r="A108" s="54" t="str">
        <f>'📂 Raw Data'!A108</f>
        <v>EMP1106</v>
      </c>
      <c r="B108" s="16" t="str">
        <f>PROPER(TRIM('📂 Raw Data'!B108))</f>
        <v>Bhavna Agarwal</v>
      </c>
      <c r="C108" s="16">
        <f>'📂 Raw Data'!C108</f>
        <v>31</v>
      </c>
      <c r="D108" s="16" t="str">
        <f>IF(OR('📂 Raw Data'!D108="M",'📂 Raw Data'!D108="m"),"Male",IF(OR('📂 Raw Data'!D108="F",'📂 Raw Data'!D108="f"),"Female",PROPER('📂 Raw Data'!D108)))</f>
        <v>Male</v>
      </c>
      <c r="E108" s="17" t="str">
        <f>UPPER(TRIM('📂 Raw Data'!E108))</f>
        <v>FINANCE</v>
      </c>
      <c r="F108" s="16" t="str">
        <f>PROPER(TRIM('📂 Raw Data'!F108))</f>
        <v>Finance Manager</v>
      </c>
      <c r="G108" s="16" t="str">
        <f>IFERROR(IF(ISNUMBER('📂 Raw Data'!G108),TEXT('📂 Raw Data'!G108,"DD-MMM-YYYY"),TEXT(DATEVALUE('📂 Raw Data'!G108),"DD-MMM-YYYY")),"Invalid Date")</f>
        <v>22-Feb-2015</v>
      </c>
      <c r="H108" s="16" t="str">
        <f>PROPER(TRIM('📂 Raw Data'!H108))</f>
        <v>Kolkata</v>
      </c>
      <c r="I108" s="18">
        <f>IFERROR(IF(ISNUMBER('📂 Raw Data'!I108),ABS('📂 Raw Data'!I108),0),0)</f>
        <v>108560</v>
      </c>
      <c r="J108" s="18">
        <f>IFERROR(ABS('📂 Raw Data'!J108),0)</f>
        <v>41388</v>
      </c>
      <c r="K108" s="18">
        <f>IFERROR(ABS('📂 Raw Data'!K108),0)</f>
        <v>10406</v>
      </c>
      <c r="L108" s="18">
        <f>IFERROR(ABS('📂 Raw Data'!L108),0)</f>
        <v>6562</v>
      </c>
      <c r="M108" s="18">
        <f>IFERROR(ABS('📂 Raw Data'!M108),0)</f>
        <v>7143</v>
      </c>
      <c r="N108" s="18">
        <f t="shared" si="1"/>
        <v>174059</v>
      </c>
      <c r="O108" s="16">
        <f>IFERROR(ABS('📂 Raw Data'!O108),0)</f>
        <v>25</v>
      </c>
      <c r="P108" s="20">
        <v>50</v>
      </c>
      <c r="Q108" s="19" t="str">
        <f>'📂 Raw Data'!Q108</f>
        <v>Below Average</v>
      </c>
      <c r="R108" s="55" t="str">
        <f>'📂 Raw Data'!R108</f>
        <v>Resigned</v>
      </c>
    </row>
    <row r="109" spans="1:18" ht="18" customHeight="1">
      <c r="A109" s="54" t="str">
        <f>'📂 Raw Data'!A109</f>
        <v>EMP1107</v>
      </c>
      <c r="B109" s="16" t="str">
        <f>PROPER(TRIM('📂 Raw Data'!B109))</f>
        <v>Xena Das</v>
      </c>
      <c r="C109" s="16">
        <f>'📂 Raw Data'!C109</f>
        <v>50</v>
      </c>
      <c r="D109" s="16" t="str">
        <f>IF(OR('📂 Raw Data'!D109="M",'📂 Raw Data'!D109="m"),"Male",IF(OR('📂 Raw Data'!D109="F",'📂 Raw Data'!D109="f"),"Female",PROPER('📂 Raw Data'!D109)))</f>
        <v>Male</v>
      </c>
      <c r="E109" s="17" t="str">
        <f>UPPER(TRIM('📂 Raw Data'!E109))</f>
        <v>ENGINEERING</v>
      </c>
      <c r="F109" s="16" t="str">
        <f>PROPER(TRIM('📂 Raw Data'!F109))</f>
        <v>Senior Engineer</v>
      </c>
      <c r="G109" s="16" t="str">
        <f>IFERROR(IF(ISNUMBER('📂 Raw Data'!G109),TEXT('📂 Raw Data'!G109,"DD-MMM-YYYY"),TEXT(DATEVALUE('📂 Raw Data'!G109),"DD-MMM-YYYY")),"Invalid Date")</f>
        <v>25-Apr-2016</v>
      </c>
      <c r="H109" s="16" t="str">
        <f>PROPER(TRIM('📂 Raw Data'!H109))</f>
        <v>Bangalore</v>
      </c>
      <c r="I109" s="18">
        <f>IFERROR(IF(ISNUMBER('📂 Raw Data'!I109),ABS('📂 Raw Data'!I109),0),0)</f>
        <v>109562</v>
      </c>
      <c r="J109" s="18">
        <f>IFERROR(ABS('📂 Raw Data'!J109),0)</f>
        <v>40896</v>
      </c>
      <c r="K109" s="18">
        <f>IFERROR(ABS('📂 Raw Data'!K109),0)</f>
        <v>8272</v>
      </c>
      <c r="L109" s="18">
        <f>IFERROR(ABS('📂 Raw Data'!L109),0)</f>
        <v>7778</v>
      </c>
      <c r="M109" s="18">
        <f>IFERROR(ABS('📂 Raw Data'!M109),0)</f>
        <v>5646</v>
      </c>
      <c r="N109" s="18">
        <f t="shared" si="1"/>
        <v>172154</v>
      </c>
      <c r="O109" s="16">
        <f>IFERROR(ABS('📂 Raw Data'!O109),0)</f>
        <v>15</v>
      </c>
      <c r="P109" s="16">
        <v>78</v>
      </c>
      <c r="Q109" s="19" t="str">
        <f>'📂 Raw Data'!Q109</f>
        <v>Excellent</v>
      </c>
      <c r="R109" s="55" t="str">
        <f>'📂 Raw Data'!R109</f>
        <v>Active</v>
      </c>
    </row>
    <row r="110" spans="1:18" ht="18" customHeight="1">
      <c r="A110" s="54" t="str">
        <f>'📂 Raw Data'!A110</f>
        <v>EMP1108</v>
      </c>
      <c r="B110" s="16" t="str">
        <f>PROPER(TRIM('📂 Raw Data'!B110))</f>
        <v>Hina Dixit</v>
      </c>
      <c r="C110" s="16">
        <f>'📂 Raw Data'!C110</f>
        <v>53</v>
      </c>
      <c r="D110" s="16" t="str">
        <f>IF(OR('📂 Raw Data'!D110="M",'📂 Raw Data'!D110="m"),"Male",IF(OR('📂 Raw Data'!D110="F",'📂 Raw Data'!D110="f"),"Female",PROPER('📂 Raw Data'!D110)))</f>
        <v>Male</v>
      </c>
      <c r="E110" s="17" t="str">
        <f>UPPER(TRIM('📂 Raw Data'!E110))</f>
        <v>MARKETING</v>
      </c>
      <c r="F110" s="16" t="str">
        <f>PROPER(TRIM('📂 Raw Data'!F110))</f>
        <v>Content Writer</v>
      </c>
      <c r="G110" s="16" t="str">
        <f>IFERROR(IF(ISNUMBER('📂 Raw Data'!G110),TEXT('📂 Raw Data'!G110,"DD-MMM-YYYY"),TEXT(DATEVALUE('📂 Raw Data'!G110),"DD-MMM-YYYY")),"Invalid Date")</f>
        <v>13-Jun-2023</v>
      </c>
      <c r="H110" s="16" t="str">
        <f>PROPER(TRIM('📂 Raw Data'!H110))</f>
        <v>Hyderabad</v>
      </c>
      <c r="I110" s="18">
        <f>IFERROR(IF(ISNUMBER('📂 Raw Data'!I110),ABS('📂 Raw Data'!I110),0),0)</f>
        <v>66207</v>
      </c>
      <c r="J110" s="18">
        <f>IFERROR(ABS('📂 Raw Data'!J110),0)</f>
        <v>28463</v>
      </c>
      <c r="K110" s="18">
        <f>IFERROR(ABS('📂 Raw Data'!K110),0)</f>
        <v>6089</v>
      </c>
      <c r="L110" s="18">
        <f>IFERROR(ABS('📂 Raw Data'!L110),0)</f>
        <v>7868</v>
      </c>
      <c r="M110" s="18">
        <f>IFERROR(ABS('📂 Raw Data'!M110),0)</f>
        <v>1929</v>
      </c>
      <c r="N110" s="18">
        <f t="shared" si="1"/>
        <v>110556</v>
      </c>
      <c r="O110" s="16">
        <f>IFERROR(ABS('📂 Raw Data'!O110),0)</f>
        <v>15</v>
      </c>
      <c r="P110" s="20">
        <v>87</v>
      </c>
      <c r="Q110" s="19" t="str">
        <f>'📂 Raw Data'!Q110</f>
        <v>Average</v>
      </c>
      <c r="R110" s="55" t="str">
        <f>'📂 Raw Data'!R110</f>
        <v>Active</v>
      </c>
    </row>
    <row r="111" spans="1:18" ht="18" customHeight="1">
      <c r="A111" s="54" t="str">
        <f>'📂 Raw Data'!A111</f>
        <v>EMP1109</v>
      </c>
      <c r="B111" s="16" t="str">
        <f>PROPER(TRIM('📂 Raw Data'!B111))</f>
        <v>Xena Rao</v>
      </c>
      <c r="C111" s="16">
        <f>'📂 Raw Data'!C111</f>
        <v>50</v>
      </c>
      <c r="D111" s="16" t="str">
        <f>IF(OR('📂 Raw Data'!D111="M",'📂 Raw Data'!D111="m"),"Male",IF(OR('📂 Raw Data'!D111="F",'📂 Raw Data'!D111="f"),"Female",PROPER('📂 Raw Data'!D111)))</f>
        <v>Male</v>
      </c>
      <c r="E111" s="17" t="str">
        <f>UPPER(TRIM('📂 Raw Data'!E111))</f>
        <v>HR</v>
      </c>
      <c r="F111" s="16" t="str">
        <f>PROPER(TRIM('📂 Raw Data'!F111))</f>
        <v>Training Coordinator</v>
      </c>
      <c r="G111" s="16" t="str">
        <f>IFERROR(IF(ISNUMBER('📂 Raw Data'!G111),TEXT('📂 Raw Data'!G111,"DD-MMM-YYYY"),TEXT(DATEVALUE('📂 Raw Data'!G111),"DD-MMM-YYYY")),"Invalid Date")</f>
        <v>10-Oct-2018</v>
      </c>
      <c r="H111" s="16" t="str">
        <f>PROPER(TRIM('📂 Raw Data'!H111))</f>
        <v>Delhi</v>
      </c>
      <c r="I111" s="18">
        <f>IFERROR(IF(ISNUMBER('📂 Raw Data'!I111),ABS('📂 Raw Data'!I111),0),0)</f>
        <v>115961</v>
      </c>
      <c r="J111" s="18">
        <f>IFERROR(ABS('📂 Raw Data'!J111),0)</f>
        <v>56043</v>
      </c>
      <c r="K111" s="18">
        <f>IFERROR(ABS('📂 Raw Data'!K111),0)</f>
        <v>10047</v>
      </c>
      <c r="L111" s="18">
        <f>IFERROR(ABS('📂 Raw Data'!L111),0)</f>
        <v>1639</v>
      </c>
      <c r="M111" s="18">
        <f>IFERROR(ABS('📂 Raw Data'!M111),0)</f>
        <v>2004</v>
      </c>
      <c r="N111" s="18">
        <f t="shared" si="1"/>
        <v>185694</v>
      </c>
      <c r="O111" s="16">
        <f>IFERROR(ABS('📂 Raw Data'!O111),0)</f>
        <v>17</v>
      </c>
      <c r="P111" s="16">
        <v>94</v>
      </c>
      <c r="Q111" s="19" t="str">
        <f>'📂 Raw Data'!Q111</f>
        <v>Average</v>
      </c>
      <c r="R111" s="55" t="str">
        <f>'📂 Raw Data'!R111</f>
        <v>On Leave</v>
      </c>
    </row>
    <row r="112" spans="1:18" ht="18" customHeight="1">
      <c r="A112" s="54" t="str">
        <f>'📂 Raw Data'!A112</f>
        <v>EMP1110</v>
      </c>
      <c r="B112" s="16" t="str">
        <f>PROPER(TRIM('📂 Raw Data'!B112))</f>
        <v>Dinesh Fernandez</v>
      </c>
      <c r="C112" s="16">
        <f>'📂 Raw Data'!C112</f>
        <v>45</v>
      </c>
      <c r="D112" s="16" t="str">
        <f>IF(OR('📂 Raw Data'!D112="M",'📂 Raw Data'!D112="m"),"Male",IF(OR('📂 Raw Data'!D112="F",'📂 Raw Data'!D112="f"),"Female",PROPER('📂 Raw Data'!D112)))</f>
        <v>Male</v>
      </c>
      <c r="E112" s="17" t="str">
        <f>UPPER(TRIM('📂 Raw Data'!E112))</f>
        <v>OPERATIONS</v>
      </c>
      <c r="F112" s="16" t="str">
        <f>PROPER(TRIM('📂 Raw Data'!F112))</f>
        <v>Admin Officer</v>
      </c>
      <c r="G112" s="16" t="str">
        <f>IFERROR(IF(ISNUMBER('📂 Raw Data'!G112),TEXT('📂 Raw Data'!G112,"DD-MMM-YYYY"),TEXT(DATEVALUE('📂 Raw Data'!G112),"DD-MMM-YYYY")),"Invalid Date")</f>
        <v>18-Sep-2016</v>
      </c>
      <c r="H112" s="16" t="str">
        <f>PROPER(TRIM('📂 Raw Data'!H112))</f>
        <v>Hyderabad</v>
      </c>
      <c r="I112" s="18">
        <f>IFERROR(IF(ISNUMBER('📂 Raw Data'!I112),ABS('📂 Raw Data'!I112),0),0)</f>
        <v>63058</v>
      </c>
      <c r="J112" s="18">
        <f>IFERROR(ABS('📂 Raw Data'!J112),0)</f>
        <v>30159</v>
      </c>
      <c r="K112" s="18">
        <f>IFERROR(ABS('📂 Raw Data'!K112),0)</f>
        <v>4580</v>
      </c>
      <c r="L112" s="18">
        <f>IFERROR(ABS('📂 Raw Data'!L112),0)</f>
        <v>5831</v>
      </c>
      <c r="M112" s="18">
        <f>IFERROR(ABS('📂 Raw Data'!M112),0)</f>
        <v>6812</v>
      </c>
      <c r="N112" s="18">
        <f t="shared" si="1"/>
        <v>110440</v>
      </c>
      <c r="O112" s="16">
        <f>IFERROR(ABS('📂 Raw Data'!O112),0)</f>
        <v>26</v>
      </c>
      <c r="P112" s="20">
        <v>80</v>
      </c>
      <c r="Q112" s="19" t="str">
        <f>'📂 Raw Data'!Q112</f>
        <v>Good</v>
      </c>
      <c r="R112" s="55" t="str">
        <f>'📂 Raw Data'!R112</f>
        <v>Active</v>
      </c>
    </row>
    <row r="113" spans="1:18" ht="18" customHeight="1">
      <c r="A113" s="54" t="str">
        <f>'📂 Raw Data'!A113</f>
        <v>EMP1111</v>
      </c>
      <c r="B113" s="16" t="str">
        <f>PROPER(TRIM('📂 Raw Data'!B113))</f>
        <v>Gaurav Naik</v>
      </c>
      <c r="C113" s="16">
        <f>'📂 Raw Data'!C113</f>
        <v>47</v>
      </c>
      <c r="D113" s="16" t="str">
        <f>IF(OR('📂 Raw Data'!D113="M",'📂 Raw Data'!D113="m"),"Male",IF(OR('📂 Raw Data'!D113="F",'📂 Raw Data'!D113="f"),"Female",PROPER('📂 Raw Data'!D113)))</f>
        <v>Female</v>
      </c>
      <c r="E113" s="17" t="str">
        <f>UPPER(TRIM('📂 Raw Data'!E113))</f>
        <v>SALES</v>
      </c>
      <c r="F113" s="16" t="str">
        <f>PROPER(TRIM('📂 Raw Data'!F113))</f>
        <v>Business Dev</v>
      </c>
      <c r="G113" s="16" t="str">
        <f>IFERROR(IF(ISNUMBER('📂 Raw Data'!G113),TEXT('📂 Raw Data'!G113,"DD-MMM-YYYY"),TEXT(DATEVALUE('📂 Raw Data'!G113),"DD-MMM-YYYY")),"Invalid Date")</f>
        <v>18-Jun-2015</v>
      </c>
      <c r="H113" s="16" t="str">
        <f>PROPER(TRIM('📂 Raw Data'!H113))</f>
        <v>Pune</v>
      </c>
      <c r="I113" s="18">
        <f>IFERROR(IF(ISNUMBER('📂 Raw Data'!I113),ABS('📂 Raw Data'!I113),0),0)</f>
        <v>100009</v>
      </c>
      <c r="J113" s="18">
        <f>IFERROR(ABS('📂 Raw Data'!J113),0)</f>
        <v>37382</v>
      </c>
      <c r="K113" s="18">
        <f>IFERROR(ABS('📂 Raw Data'!K113),0)</f>
        <v>11038</v>
      </c>
      <c r="L113" s="18">
        <f>IFERROR(ABS('📂 Raw Data'!L113),0)</f>
        <v>1063</v>
      </c>
      <c r="M113" s="18">
        <f>IFERROR(ABS('📂 Raw Data'!M113),0)</f>
        <v>6013</v>
      </c>
      <c r="N113" s="18">
        <f t="shared" si="1"/>
        <v>155505</v>
      </c>
      <c r="O113" s="16">
        <f>IFERROR(ABS('📂 Raw Data'!O113),0)</f>
        <v>16</v>
      </c>
      <c r="P113" s="16">
        <v>44</v>
      </c>
      <c r="Q113" s="19" t="str">
        <f>'📂 Raw Data'!Q113</f>
        <v>Below Average</v>
      </c>
      <c r="R113" s="55" t="str">
        <f>'📂 Raw Data'!R113</f>
        <v>On Leave</v>
      </c>
    </row>
    <row r="114" spans="1:18" ht="18" customHeight="1">
      <c r="A114" s="54" t="str">
        <f>'📂 Raw Data'!A114</f>
        <v>EMP1112</v>
      </c>
      <c r="B114" s="16" t="str">
        <f>PROPER(TRIM('📂 Raw Data'!B114))</f>
        <v>Priya Khanna</v>
      </c>
      <c r="C114" s="16">
        <f>'📂 Raw Data'!C114</f>
        <v>30</v>
      </c>
      <c r="D114" s="16" t="str">
        <f>IF(OR('📂 Raw Data'!D114="M",'📂 Raw Data'!D114="m"),"Male",IF(OR('📂 Raw Data'!D114="F",'📂 Raw Data'!D114="f"),"Female",PROPER('📂 Raw Data'!D114)))</f>
        <v>Male</v>
      </c>
      <c r="E114" s="17" t="str">
        <f>UPPER(TRIM('📂 Raw Data'!E114))</f>
        <v>FINANCE</v>
      </c>
      <c r="F114" s="16" t="str">
        <f>PROPER(TRIM('📂 Raw Data'!F114))</f>
        <v>Accountant</v>
      </c>
      <c r="G114" s="16" t="str">
        <f>IFERROR(IF(ISNUMBER('📂 Raw Data'!G114),TEXT('📂 Raw Data'!G114,"DD-MMM-YYYY"),TEXT(DATEVALUE('📂 Raw Data'!G114),"DD-MMM-YYYY")),"Invalid Date")</f>
        <v>21-Jun-2017</v>
      </c>
      <c r="H114" s="16" t="str">
        <f>PROPER(TRIM('📂 Raw Data'!H114))</f>
        <v>Chennai</v>
      </c>
      <c r="I114" s="18">
        <f>IFERROR(IF(ISNUMBER('📂 Raw Data'!I114),ABS('📂 Raw Data'!I114),0),0)</f>
        <v>34720</v>
      </c>
      <c r="J114" s="18">
        <f>IFERROR(ABS('📂 Raw Data'!J114),0)</f>
        <v>13541</v>
      </c>
      <c r="K114" s="18">
        <f>IFERROR(ABS('📂 Raw Data'!K114),0)</f>
        <v>13142</v>
      </c>
      <c r="L114" s="18">
        <f>IFERROR(ABS('📂 Raw Data'!L114),0)</f>
        <v>4238</v>
      </c>
      <c r="M114" s="18">
        <f>IFERROR(ABS('📂 Raw Data'!M114),0)</f>
        <v>3822</v>
      </c>
      <c r="N114" s="18">
        <f t="shared" si="1"/>
        <v>69463</v>
      </c>
      <c r="O114" s="16">
        <f>IFERROR(ABS('📂 Raw Data'!O114),0)</f>
        <v>17</v>
      </c>
      <c r="P114" s="20">
        <v>96</v>
      </c>
      <c r="Q114" s="19" t="str">
        <f>'📂 Raw Data'!Q114</f>
        <v>Excellent</v>
      </c>
      <c r="R114" s="55" t="str">
        <f>'📂 Raw Data'!R114</f>
        <v>Resigned</v>
      </c>
    </row>
    <row r="115" spans="1:18" ht="18" customHeight="1">
      <c r="A115" s="54" t="str">
        <f>'📂 Raw Data'!A115</f>
        <v>EMP1113</v>
      </c>
      <c r="B115" s="16" t="str">
        <f>PROPER(TRIM('📂 Raw Data'!B115))</f>
        <v>Hina Ahuja</v>
      </c>
      <c r="C115" s="16">
        <f>'📂 Raw Data'!C115</f>
        <v>38</v>
      </c>
      <c r="D115" s="16" t="str">
        <f>IF(OR('📂 Raw Data'!D115="M",'📂 Raw Data'!D115="m"),"Male",IF(OR('📂 Raw Data'!D115="F",'📂 Raw Data'!D115="f"),"Female",PROPER('📂 Raw Data'!D115)))</f>
        <v>Male</v>
      </c>
      <c r="E115" s="17" t="str">
        <f>UPPER(TRIM('📂 Raw Data'!E115))</f>
        <v>MARKETING</v>
      </c>
      <c r="F115" s="16" t="str">
        <f>PROPER(TRIM('📂 Raw Data'!F115))</f>
        <v>Content Writer</v>
      </c>
      <c r="G115" s="16" t="str">
        <f>IFERROR(IF(ISNUMBER('📂 Raw Data'!G115),TEXT('📂 Raw Data'!G115,"DD-MMM-YYYY"),TEXT(DATEVALUE('📂 Raw Data'!G115),"DD-MMM-YYYY")),"Invalid Date")</f>
        <v>06-Mar-2019</v>
      </c>
      <c r="H115" s="16" t="str">
        <f>PROPER(TRIM('📂 Raw Data'!H115))</f>
        <v>Delhi</v>
      </c>
      <c r="I115" s="18">
        <f>IFERROR(IF(ISNUMBER('📂 Raw Data'!I115),ABS('📂 Raw Data'!I115),0),0)</f>
        <v>67291</v>
      </c>
      <c r="J115" s="18">
        <f>IFERROR(ABS('📂 Raw Data'!J115),0)</f>
        <v>32767</v>
      </c>
      <c r="K115" s="18">
        <f>IFERROR(ABS('📂 Raw Data'!K115),0)</f>
        <v>5694</v>
      </c>
      <c r="L115" s="18">
        <f>IFERROR(ABS('📂 Raw Data'!L115),0)</f>
        <v>2834</v>
      </c>
      <c r="M115" s="18">
        <f>IFERROR(ABS('📂 Raw Data'!M115),0)</f>
        <v>5250</v>
      </c>
      <c r="N115" s="18">
        <f t="shared" si="1"/>
        <v>113836</v>
      </c>
      <c r="O115" s="16">
        <f>IFERROR(ABS('📂 Raw Data'!O115),0)</f>
        <v>19</v>
      </c>
      <c r="P115" s="16">
        <v>94</v>
      </c>
      <c r="Q115" s="19" t="str">
        <f>'📂 Raw Data'!Q115</f>
        <v>Good</v>
      </c>
      <c r="R115" s="55" t="str">
        <f>'📂 Raw Data'!R115</f>
        <v>On Leave</v>
      </c>
    </row>
    <row r="116" spans="1:18" ht="18" customHeight="1">
      <c r="A116" s="54" t="str">
        <f>'📂 Raw Data'!A116</f>
        <v>EMP1114</v>
      </c>
      <c r="B116" s="16" t="str">
        <f>PROPER(TRIM('📂 Raw Data'!B116))</f>
        <v>Sanjay Malhotra</v>
      </c>
      <c r="C116" s="16">
        <f>'📂 Raw Data'!C116</f>
        <v>24</v>
      </c>
      <c r="D116" s="16" t="str">
        <f>IF(OR('📂 Raw Data'!D116="M",'📂 Raw Data'!D116="m"),"Male",IF(OR('📂 Raw Data'!D116="F",'📂 Raw Data'!D116="f"),"Female",PROPER('📂 Raw Data'!D116)))</f>
        <v>Female</v>
      </c>
      <c r="E116" s="17" t="str">
        <f>UPPER(TRIM('📂 Raw Data'!E116))</f>
        <v>OPERATIONS</v>
      </c>
      <c r="F116" s="16" t="str">
        <f>PROPER(TRIM('📂 Raw Data'!F116))</f>
        <v>Admin Officer</v>
      </c>
      <c r="G116" s="16" t="str">
        <f>IFERROR(IF(ISNUMBER('📂 Raw Data'!G116),TEXT('📂 Raw Data'!G116,"DD-MMM-YYYY"),TEXT(DATEVALUE('📂 Raw Data'!G116),"DD-MMM-YYYY")),"Invalid Date")</f>
        <v>17-Feb-2023</v>
      </c>
      <c r="H116" s="16" t="str">
        <f>PROPER(TRIM('📂 Raw Data'!H116))</f>
        <v>Kolkata</v>
      </c>
      <c r="I116" s="18">
        <f>IFERROR(IF(ISNUMBER('📂 Raw Data'!I116),ABS('📂 Raw Data'!I116),0),0)</f>
        <v>109015</v>
      </c>
      <c r="J116" s="18">
        <f>IFERROR(ABS('📂 Raw Data'!J116),0)</f>
        <v>36381</v>
      </c>
      <c r="K116" s="18">
        <f>IFERROR(ABS('📂 Raw Data'!K116),0)</f>
        <v>11513</v>
      </c>
      <c r="L116" s="18">
        <f>IFERROR(ABS('📂 Raw Data'!L116),0)</f>
        <v>1263</v>
      </c>
      <c r="M116" s="18">
        <f>IFERROR(ABS('📂 Raw Data'!M116),0)</f>
        <v>2402</v>
      </c>
      <c r="N116" s="18">
        <f t="shared" si="1"/>
        <v>160574</v>
      </c>
      <c r="O116" s="16">
        <f>IFERROR(ABS('📂 Raw Data'!O116),0)</f>
        <v>25</v>
      </c>
      <c r="P116" s="20">
        <v>79</v>
      </c>
      <c r="Q116" s="19" t="str">
        <f>'📂 Raw Data'!Q116</f>
        <v>Poor</v>
      </c>
      <c r="R116" s="55" t="str">
        <f>'📂 Raw Data'!R116</f>
        <v>Active</v>
      </c>
    </row>
    <row r="117" spans="1:18" ht="18" customHeight="1">
      <c r="A117" s="54" t="str">
        <f>'📂 Raw Data'!A117</f>
        <v>EMP1115</v>
      </c>
      <c r="B117" s="16" t="str">
        <f>PROPER(TRIM('📂 Raw Data'!B117))</f>
        <v>Vikas Ghosh</v>
      </c>
      <c r="C117" s="16">
        <f>'📂 Raw Data'!C117</f>
        <v>37</v>
      </c>
      <c r="D117" s="16" t="str">
        <f>IF(OR('📂 Raw Data'!D117="M",'📂 Raw Data'!D117="m"),"Male",IF(OR('📂 Raw Data'!D117="F",'📂 Raw Data'!D117="f"),"Female",PROPER('📂 Raw Data'!D117)))</f>
        <v>Female</v>
      </c>
      <c r="E117" s="17" t="str">
        <f>UPPER(TRIM('📂 Raw Data'!E117))</f>
        <v>HR</v>
      </c>
      <c r="F117" s="16" t="str">
        <f>PROPER(TRIM('📂 Raw Data'!F117))</f>
        <v>Hr Manager</v>
      </c>
      <c r="G117" s="16" t="str">
        <f>IFERROR(IF(ISNUMBER('📂 Raw Data'!G117),TEXT('📂 Raw Data'!G117,"DD-MMM-YYYY"),TEXT(DATEVALUE('📂 Raw Data'!G117),"DD-MMM-YYYY")),"Invalid Date")</f>
        <v>21-Oct-2021</v>
      </c>
      <c r="H117" s="16" t="str">
        <f>PROPER(TRIM('📂 Raw Data'!H117))</f>
        <v>Kolkata</v>
      </c>
      <c r="I117" s="18">
        <f>IFERROR(IF(ISNUMBER('📂 Raw Data'!I117),ABS('📂 Raw Data'!I117),0),0)</f>
        <v>28969</v>
      </c>
      <c r="J117" s="18">
        <f>IFERROR(ABS('📂 Raw Data'!J117),0)</f>
        <v>11576</v>
      </c>
      <c r="K117" s="18">
        <f>IFERROR(ABS('📂 Raw Data'!K117),0)</f>
        <v>12275</v>
      </c>
      <c r="L117" s="18">
        <f>IFERROR(ABS('📂 Raw Data'!L117),0)</f>
        <v>4469</v>
      </c>
      <c r="M117" s="18">
        <f>IFERROR(ABS('📂 Raw Data'!M117),0)</f>
        <v>3372</v>
      </c>
      <c r="N117" s="18">
        <f t="shared" si="1"/>
        <v>60661</v>
      </c>
      <c r="O117" s="16">
        <f>IFERROR(ABS('📂 Raw Data'!O117),0)</f>
        <v>25</v>
      </c>
      <c r="P117" s="16">
        <v>59</v>
      </c>
      <c r="Q117" s="19" t="str">
        <f>'📂 Raw Data'!Q117</f>
        <v>Below Average</v>
      </c>
      <c r="R117" s="55" t="str">
        <f>'📂 Raw Data'!R117</f>
        <v>On Leave</v>
      </c>
    </row>
    <row r="118" spans="1:18" ht="18" customHeight="1">
      <c r="A118" s="54" t="str">
        <f>'📂 Raw Data'!A118</f>
        <v>EMP1116</v>
      </c>
      <c r="B118" s="16" t="str">
        <f>PROPER(TRIM('📂 Raw Data'!B118))</f>
        <v>Farhan Doshi</v>
      </c>
      <c r="C118" s="16">
        <f>'📂 Raw Data'!C118</f>
        <v>44</v>
      </c>
      <c r="D118" s="16" t="str">
        <f>IF(OR('📂 Raw Data'!D118="M",'📂 Raw Data'!D118="m"),"Male",IF(OR('📂 Raw Data'!D118="F",'📂 Raw Data'!D118="f"),"Female",PROPER('📂 Raw Data'!D118)))</f>
        <v>Female</v>
      </c>
      <c r="E118" s="17" t="str">
        <f>UPPER(TRIM('📂 Raw Data'!E118))</f>
        <v>ENGINEERING</v>
      </c>
      <c r="F118" s="16" t="str">
        <f>PROPER(TRIM('📂 Raw Data'!F118))</f>
        <v>Software Engineer</v>
      </c>
      <c r="G118" s="16" t="str">
        <f>IFERROR(IF(ISNUMBER('📂 Raw Data'!G118),TEXT('📂 Raw Data'!G118,"DD-MMM-YYYY"),TEXT(DATEVALUE('📂 Raw Data'!G118),"DD-MMM-YYYY")),"Invalid Date")</f>
        <v>14-Aug-2017</v>
      </c>
      <c r="H118" s="16" t="str">
        <f>PROPER(TRIM('📂 Raw Data'!H118))</f>
        <v>Chennai</v>
      </c>
      <c r="I118" s="18">
        <f>IFERROR(IF(ISNUMBER('📂 Raw Data'!I118),ABS('📂 Raw Data'!I118),0),0)</f>
        <v>88471</v>
      </c>
      <c r="J118" s="18">
        <f>IFERROR(ABS('📂 Raw Data'!J118),0)</f>
        <v>34759</v>
      </c>
      <c r="K118" s="18">
        <f>IFERROR(ABS('📂 Raw Data'!K118),0)</f>
        <v>7573</v>
      </c>
      <c r="L118" s="18">
        <f>IFERROR(ABS('📂 Raw Data'!L118),0)</f>
        <v>4969</v>
      </c>
      <c r="M118" s="18">
        <f>IFERROR(ABS('📂 Raw Data'!M118),0)</f>
        <v>2176</v>
      </c>
      <c r="N118" s="18">
        <f t="shared" si="1"/>
        <v>137948</v>
      </c>
      <c r="O118" s="16">
        <f>IFERROR(ABS('📂 Raw Data'!O118),0)</f>
        <v>20</v>
      </c>
      <c r="P118" s="20">
        <v>95</v>
      </c>
      <c r="Q118" s="19" t="str">
        <f>'📂 Raw Data'!Q118</f>
        <v>Poor</v>
      </c>
      <c r="R118" s="55" t="str">
        <f>'📂 Raw Data'!R118</f>
        <v>Active</v>
      </c>
    </row>
    <row r="119" spans="1:18" ht="18" customHeight="1">
      <c r="A119" s="54" t="str">
        <f>'📂 Raw Data'!A119</f>
        <v>EMP1117</v>
      </c>
      <c r="B119" s="16" t="str">
        <f>PROPER(TRIM('📂 Raw Data'!B119))</f>
        <v>Waqar Joshi</v>
      </c>
      <c r="C119" s="16">
        <f>'📂 Raw Data'!C119</f>
        <v>48</v>
      </c>
      <c r="D119" s="16" t="str">
        <f>IF(OR('📂 Raw Data'!D119="M",'📂 Raw Data'!D119="m"),"Male",IF(OR('📂 Raw Data'!D119="F",'📂 Raw Data'!D119="f"),"Female",PROPER('📂 Raw Data'!D119)))</f>
        <v>Female</v>
      </c>
      <c r="E119" s="17" t="str">
        <f>UPPER(TRIM('📂 Raw Data'!E119))</f>
        <v>MARKETING</v>
      </c>
      <c r="F119" s="16" t="str">
        <f>PROPER(TRIM('📂 Raw Data'!F119))</f>
        <v>Marketing Executive</v>
      </c>
      <c r="G119" s="16" t="str">
        <f>IFERROR(IF(ISNUMBER('📂 Raw Data'!G119),TEXT('📂 Raw Data'!G119,"DD-MMM-YYYY"),TEXT(DATEVALUE('📂 Raw Data'!G119),"DD-MMM-YYYY")),"Invalid Date")</f>
        <v>15-Apr-2020</v>
      </c>
      <c r="H119" s="16" t="str">
        <f>PROPER(TRIM('📂 Raw Data'!H119))</f>
        <v>Delhi</v>
      </c>
      <c r="I119" s="18">
        <f>IFERROR(IF(ISNUMBER('📂 Raw Data'!I119),ABS('📂 Raw Data'!I119),0),0)</f>
        <v>41059</v>
      </c>
      <c r="J119" s="18">
        <f>IFERROR(ABS('📂 Raw Data'!J119),0)</f>
        <v>14514</v>
      </c>
      <c r="K119" s="18">
        <f>IFERROR(ABS('📂 Raw Data'!K119),0)</f>
        <v>6061</v>
      </c>
      <c r="L119" s="18">
        <f>IFERROR(ABS('📂 Raw Data'!L119),0)</f>
        <v>1154</v>
      </c>
      <c r="M119" s="18">
        <f>IFERROR(ABS('📂 Raw Data'!M119),0)</f>
        <v>1793</v>
      </c>
      <c r="N119" s="18">
        <f t="shared" si="1"/>
        <v>64581</v>
      </c>
      <c r="O119" s="16">
        <f>IFERROR(ABS('📂 Raw Data'!O119),0)</f>
        <v>15</v>
      </c>
      <c r="P119" s="16">
        <v>58</v>
      </c>
      <c r="Q119" s="19" t="str">
        <f>'📂 Raw Data'!Q119</f>
        <v>Poor</v>
      </c>
      <c r="R119" s="55" t="str">
        <f>'📂 Raw Data'!R119</f>
        <v>Active</v>
      </c>
    </row>
    <row r="120" spans="1:18" ht="18" customHeight="1">
      <c r="A120" s="54" t="str">
        <f>'📂 Raw Data'!A120</f>
        <v>EMP1118</v>
      </c>
      <c r="B120" s="16" t="str">
        <f>PROPER(TRIM('📂 Raw Data'!B120))</f>
        <v>Tejal Pandey</v>
      </c>
      <c r="C120" s="16">
        <f>'📂 Raw Data'!C120</f>
        <v>54</v>
      </c>
      <c r="D120" s="16" t="str">
        <f>IF(OR('📂 Raw Data'!D120="M",'📂 Raw Data'!D120="m"),"Male",IF(OR('📂 Raw Data'!D120="F",'📂 Raw Data'!D120="f"),"Female",PROPER('📂 Raw Data'!D120)))</f>
        <v>Female</v>
      </c>
      <c r="E120" s="17" t="str">
        <f>UPPER(TRIM('📂 Raw Data'!E120))</f>
        <v>OPERATIONS</v>
      </c>
      <c r="F120" s="16" t="str">
        <f>PROPER(TRIM('📂 Raw Data'!F120))</f>
        <v>Admin Officer</v>
      </c>
      <c r="G120" s="16" t="str">
        <f>IFERROR(IF(ISNUMBER('📂 Raw Data'!G120),TEXT('📂 Raw Data'!G120,"DD-MMM-YYYY"),TEXT(DATEVALUE('📂 Raw Data'!G120),"DD-MMM-YYYY")),"Invalid Date")</f>
        <v>16-Mar-2018</v>
      </c>
      <c r="H120" s="16" t="str">
        <f>PROPER(TRIM('📂 Raw Data'!H120))</f>
        <v>Chennai</v>
      </c>
      <c r="I120" s="18">
        <f>IFERROR(IF(ISNUMBER('📂 Raw Data'!I120),ABS('📂 Raw Data'!I120),0),0)</f>
        <v>92466</v>
      </c>
      <c r="J120" s="18">
        <f>IFERROR(ABS('📂 Raw Data'!J120),0)</f>
        <v>36373</v>
      </c>
      <c r="K120" s="18">
        <f>IFERROR(ABS('📂 Raw Data'!K120),0)</f>
        <v>7055</v>
      </c>
      <c r="L120" s="18">
        <f>IFERROR(ABS('📂 Raw Data'!L120),0)</f>
        <v>4074</v>
      </c>
      <c r="M120" s="18">
        <f>IFERROR(ABS('📂 Raw Data'!M120),0)</f>
        <v>1189</v>
      </c>
      <c r="N120" s="18">
        <f t="shared" si="1"/>
        <v>141157</v>
      </c>
      <c r="O120" s="16">
        <f>IFERROR(ABS('📂 Raw Data'!O120),0)</f>
        <v>16</v>
      </c>
      <c r="P120" s="20">
        <v>100</v>
      </c>
      <c r="Q120" s="19" t="str">
        <f>'📂 Raw Data'!Q120</f>
        <v>Average</v>
      </c>
      <c r="R120" s="55" t="str">
        <f>'📂 Raw Data'!R120</f>
        <v>Active</v>
      </c>
    </row>
    <row r="121" spans="1:18" ht="18" customHeight="1">
      <c r="A121" s="54" t="str">
        <f>'📂 Raw Data'!A121</f>
        <v>EMP1119</v>
      </c>
      <c r="B121" s="16" t="str">
        <f>PROPER(TRIM('📂 Raw Data'!B121))</f>
        <v>Farhan Zafar</v>
      </c>
      <c r="C121" s="16">
        <f>'📂 Raw Data'!C121</f>
        <v>38</v>
      </c>
      <c r="D121" s="16" t="str">
        <f>IF(OR('📂 Raw Data'!D121="M",'📂 Raw Data'!D121="m"),"Male",IF(OR('📂 Raw Data'!D121="F",'📂 Raw Data'!D121="f"),"Female",PROPER('📂 Raw Data'!D121)))</f>
        <v>Male</v>
      </c>
      <c r="E121" s="17" t="str">
        <f>UPPER(TRIM('📂 Raw Data'!E121))</f>
        <v>ENGINEERING</v>
      </c>
      <c r="F121" s="16" t="str">
        <f>PROPER(TRIM('📂 Raw Data'!F121))</f>
        <v>Software Engineer</v>
      </c>
      <c r="G121" s="16" t="str">
        <f>IFERROR(IF(ISNUMBER('📂 Raw Data'!G121),TEXT('📂 Raw Data'!G121,"DD-MMM-YYYY"),TEXT(DATEVALUE('📂 Raw Data'!G121),"DD-MMM-YYYY")),"Invalid Date")</f>
        <v>20-Aug-2019</v>
      </c>
      <c r="H121" s="16" t="str">
        <f>PROPER(TRIM('📂 Raw Data'!H121))</f>
        <v>Pune</v>
      </c>
      <c r="I121" s="18">
        <f>IFERROR(IF(ISNUMBER('📂 Raw Data'!I121),ABS('📂 Raw Data'!I121),0),0)</f>
        <v>110755</v>
      </c>
      <c r="J121" s="18">
        <f>IFERROR(ABS('📂 Raw Data'!J121),0)</f>
        <v>48124</v>
      </c>
      <c r="K121" s="18">
        <f>IFERROR(ABS('📂 Raw Data'!K121),0)</f>
        <v>6681</v>
      </c>
      <c r="L121" s="18">
        <f>IFERROR(ABS('📂 Raw Data'!L121),0)</f>
        <v>4396</v>
      </c>
      <c r="M121" s="18">
        <f>IFERROR(ABS('📂 Raw Data'!M121),0)</f>
        <v>1066</v>
      </c>
      <c r="N121" s="18">
        <f t="shared" si="1"/>
        <v>171022</v>
      </c>
      <c r="O121" s="16">
        <f>IFERROR(ABS('📂 Raw Data'!O121),0)</f>
        <v>16</v>
      </c>
      <c r="P121" s="16">
        <v>67</v>
      </c>
      <c r="Q121" s="19" t="str">
        <f>'📂 Raw Data'!Q121</f>
        <v>Average</v>
      </c>
      <c r="R121" s="55" t="str">
        <f>'📂 Raw Data'!R121</f>
        <v>Active</v>
      </c>
    </row>
    <row r="122" spans="1:18" ht="18" customHeight="1">
      <c r="A122" s="54" t="str">
        <f>'📂 Raw Data'!A122</f>
        <v>EMP1120</v>
      </c>
      <c r="B122" s="16" t="str">
        <f>PROPER(TRIM('📂 Raw Data'!B122))</f>
        <v>Vikas Doshi</v>
      </c>
      <c r="C122" s="16">
        <f>'📂 Raw Data'!C122</f>
        <v>29</v>
      </c>
      <c r="D122" s="16" t="str">
        <f>IF(OR('📂 Raw Data'!D122="M",'📂 Raw Data'!D122="m"),"Male",IF(OR('📂 Raw Data'!D122="F",'📂 Raw Data'!D122="f"),"Female",PROPER('📂 Raw Data'!D122)))</f>
        <v>Female</v>
      </c>
      <c r="E122" s="17" t="str">
        <f>UPPER(TRIM('📂 Raw Data'!E122))</f>
        <v>ENGINEERING</v>
      </c>
      <c r="F122" s="16" t="str">
        <f>PROPER(TRIM('📂 Raw Data'!F122))</f>
        <v>Qa Engineer</v>
      </c>
      <c r="G122" s="16" t="str">
        <f>IFERROR(IF(ISNUMBER('📂 Raw Data'!G122),TEXT('📂 Raw Data'!G122,"DD-MMM-YYYY"),TEXT(DATEVALUE('📂 Raw Data'!G122),"DD-MMM-YYYY")),"Invalid Date")</f>
        <v>18-Oct-2015</v>
      </c>
      <c r="H122" s="16" t="str">
        <f>PROPER(TRIM('📂 Raw Data'!H122))</f>
        <v>Delhi</v>
      </c>
      <c r="I122" s="18">
        <f>IFERROR(IF(ISNUMBER('📂 Raw Data'!I122),ABS('📂 Raw Data'!I122),0),0)</f>
        <v>50513</v>
      </c>
      <c r="J122" s="18">
        <f>IFERROR(ABS('📂 Raw Data'!J122),0)</f>
        <v>18816</v>
      </c>
      <c r="K122" s="18">
        <f>IFERROR(ABS('📂 Raw Data'!K122),0)</f>
        <v>6728</v>
      </c>
      <c r="L122" s="18">
        <f>IFERROR(ABS('📂 Raw Data'!L122),0)</f>
        <v>602</v>
      </c>
      <c r="M122" s="18">
        <f>IFERROR(ABS('📂 Raw Data'!M122),0)</f>
        <v>4164</v>
      </c>
      <c r="N122" s="18">
        <f t="shared" si="1"/>
        <v>80823</v>
      </c>
      <c r="O122" s="16">
        <f>IFERROR(ABS('📂 Raw Data'!O122),0)</f>
        <v>23</v>
      </c>
      <c r="P122" s="20">
        <v>68</v>
      </c>
      <c r="Q122" s="19" t="str">
        <f>'📂 Raw Data'!Q122</f>
        <v>Average</v>
      </c>
      <c r="R122" s="55" t="str">
        <f>'📂 Raw Data'!R122</f>
        <v>Active</v>
      </c>
    </row>
    <row r="123" spans="1:18" ht="18" customHeight="1">
      <c r="A123" s="54" t="str">
        <f>'📂 Raw Data'!A123</f>
        <v>EMP1121</v>
      </c>
      <c r="B123" s="16" t="str">
        <f>PROPER(TRIM('📂 Raw Data'!B123))</f>
        <v>Riya Bhatia</v>
      </c>
      <c r="C123" s="16">
        <f>'📂 Raw Data'!C123</f>
        <v>52</v>
      </c>
      <c r="D123" s="16" t="str">
        <f>IF(OR('📂 Raw Data'!D123="M",'📂 Raw Data'!D123="m"),"Male",IF(OR('📂 Raw Data'!D123="F",'📂 Raw Data'!D123="f"),"Female",PROPER('📂 Raw Data'!D123)))</f>
        <v>Female</v>
      </c>
      <c r="E123" s="17" t="str">
        <f>UPPER(TRIM('📂 Raw Data'!E123))</f>
        <v>MARKETING</v>
      </c>
      <c r="F123" s="16" t="str">
        <f>PROPER(TRIM('📂 Raw Data'!F123))</f>
        <v>Seo Specialist</v>
      </c>
      <c r="G123" s="16" t="str">
        <f>IFERROR(IF(ISNUMBER('📂 Raw Data'!G123),TEXT('📂 Raw Data'!G123,"DD-MMM-YYYY"),TEXT(DATEVALUE('📂 Raw Data'!G123),"DD-MMM-YYYY")),"Invalid Date")</f>
        <v>04-Jan-2017</v>
      </c>
      <c r="H123" s="16" t="str">
        <f>PROPER(TRIM('📂 Raw Data'!H123))</f>
        <v>Hyderabad</v>
      </c>
      <c r="I123" s="18">
        <f>IFERROR(IF(ISNUMBER('📂 Raw Data'!I123),ABS('📂 Raw Data'!I123),0),0)</f>
        <v>91731</v>
      </c>
      <c r="J123" s="18">
        <f>IFERROR(ABS('📂 Raw Data'!J123),0)</f>
        <v>34883</v>
      </c>
      <c r="K123" s="18">
        <f>IFERROR(ABS('📂 Raw Data'!K123),0)</f>
        <v>2659</v>
      </c>
      <c r="L123" s="18">
        <f>IFERROR(ABS('📂 Raw Data'!L123),0)</f>
        <v>371</v>
      </c>
      <c r="M123" s="18">
        <f>IFERROR(ABS('📂 Raw Data'!M123),0)</f>
        <v>1318</v>
      </c>
      <c r="N123" s="18">
        <f t="shared" si="1"/>
        <v>130962</v>
      </c>
      <c r="O123" s="16">
        <f>IFERROR(ABS('📂 Raw Data'!O123),0)</f>
        <v>17</v>
      </c>
      <c r="P123" s="16">
        <v>85</v>
      </c>
      <c r="Q123" s="19" t="str">
        <f>'📂 Raw Data'!Q123</f>
        <v>Poor</v>
      </c>
      <c r="R123" s="55" t="str">
        <f>'📂 Raw Data'!R123</f>
        <v>Active</v>
      </c>
    </row>
    <row r="124" spans="1:18" ht="18" customHeight="1">
      <c r="A124" s="54" t="str">
        <f>'📂 Raw Data'!A124</f>
        <v>EMP1122</v>
      </c>
      <c r="B124" s="16" t="str">
        <f>PROPER(TRIM('📂 Raw Data'!B124))</f>
        <v>Tarun Pillai</v>
      </c>
      <c r="C124" s="16">
        <f>'📂 Raw Data'!C124</f>
        <v>41</v>
      </c>
      <c r="D124" s="16" t="str">
        <f>IF(OR('📂 Raw Data'!D124="M",'📂 Raw Data'!D124="m"),"Male",IF(OR('📂 Raw Data'!D124="F",'📂 Raw Data'!D124="f"),"Female",PROPER('📂 Raw Data'!D124)))</f>
        <v>Female</v>
      </c>
      <c r="E124" s="17" t="str">
        <f>UPPER(TRIM('📂 Raw Data'!E124))</f>
        <v>SALES</v>
      </c>
      <c r="F124" s="16" t="str">
        <f>PROPER(TRIM('📂 Raw Data'!F124))</f>
        <v>Sales Manager</v>
      </c>
      <c r="G124" s="16" t="str">
        <f>IFERROR(IF(ISNUMBER('📂 Raw Data'!G124),TEXT('📂 Raw Data'!G124,"DD-MMM-YYYY"),TEXT(DATEVALUE('📂 Raw Data'!G124),"DD-MMM-YYYY")),"Invalid Date")</f>
        <v>13-Mar-2020</v>
      </c>
      <c r="H124" s="16" t="str">
        <f>PROPER(TRIM('📂 Raw Data'!H124))</f>
        <v>Chennai</v>
      </c>
      <c r="I124" s="18">
        <f>IFERROR(IF(ISNUMBER('📂 Raw Data'!I124),ABS('📂 Raw Data'!I124),0),0)</f>
        <v>105805</v>
      </c>
      <c r="J124" s="18">
        <f>IFERROR(ABS('📂 Raw Data'!J124),0)</f>
        <v>47386</v>
      </c>
      <c r="K124" s="18">
        <f>IFERROR(ABS('📂 Raw Data'!K124),0)</f>
        <v>6902</v>
      </c>
      <c r="L124" s="18">
        <f>IFERROR(ABS('📂 Raw Data'!L124),0)</f>
        <v>4863</v>
      </c>
      <c r="M124" s="18">
        <f>IFERROR(ABS('📂 Raw Data'!M124),0)</f>
        <v>3755</v>
      </c>
      <c r="N124" s="18">
        <f t="shared" si="1"/>
        <v>168711</v>
      </c>
      <c r="O124" s="16">
        <f>IFERROR(ABS('📂 Raw Data'!O124),0)</f>
        <v>23</v>
      </c>
      <c r="P124" s="20">
        <v>93</v>
      </c>
      <c r="Q124" s="19" t="str">
        <f>'📂 Raw Data'!Q124</f>
        <v>Excellent</v>
      </c>
      <c r="R124" s="55" t="str">
        <f>'📂 Raw Data'!R124</f>
        <v>Active</v>
      </c>
    </row>
    <row r="125" spans="1:18" ht="18" customHeight="1">
      <c r="A125" s="54" t="str">
        <f>'📂 Raw Data'!A125</f>
        <v>EMP1123</v>
      </c>
      <c r="B125" s="16" t="str">
        <f>PROPER(TRIM('📂 Raw Data'!B125))</f>
        <v>Geeta Naik</v>
      </c>
      <c r="C125" s="16">
        <f>'📂 Raw Data'!C125</f>
        <v>25</v>
      </c>
      <c r="D125" s="16" t="str">
        <f>IF(OR('📂 Raw Data'!D125="M",'📂 Raw Data'!D125="m"),"Male",IF(OR('📂 Raw Data'!D125="F",'📂 Raw Data'!D125="f"),"Female",PROPER('📂 Raw Data'!D125)))</f>
        <v>Male</v>
      </c>
      <c r="E125" s="17" t="str">
        <f>UPPER(TRIM('📂 Raw Data'!E125))</f>
        <v>FINANCE</v>
      </c>
      <c r="F125" s="16" t="str">
        <f>PROPER(TRIM('📂 Raw Data'!F125))</f>
        <v>Finance Manager</v>
      </c>
      <c r="G125" s="16" t="str">
        <f>IFERROR(IF(ISNUMBER('📂 Raw Data'!G125),TEXT('📂 Raw Data'!G125,"DD-MMM-YYYY"),TEXT(DATEVALUE('📂 Raw Data'!G125),"DD-MMM-YYYY")),"Invalid Date")</f>
        <v>16-Oct-2015</v>
      </c>
      <c r="H125" s="16" t="str">
        <f>PROPER(TRIM('📂 Raw Data'!H125))</f>
        <v>Hyderabad</v>
      </c>
      <c r="I125" s="18">
        <f>IFERROR(IF(ISNUMBER('📂 Raw Data'!I125),ABS('📂 Raw Data'!I125),0),0)</f>
        <v>59803</v>
      </c>
      <c r="J125" s="18">
        <f>IFERROR(ABS('📂 Raw Data'!J125),0)</f>
        <v>29508</v>
      </c>
      <c r="K125" s="18">
        <f>IFERROR(ABS('📂 Raw Data'!K125),0)</f>
        <v>14827</v>
      </c>
      <c r="L125" s="18">
        <f>IFERROR(ABS('📂 Raw Data'!L125),0)</f>
        <v>7963</v>
      </c>
      <c r="M125" s="18">
        <f>IFERROR(ABS('📂 Raw Data'!M125),0)</f>
        <v>7358</v>
      </c>
      <c r="N125" s="18">
        <f t="shared" si="1"/>
        <v>119459</v>
      </c>
      <c r="O125" s="16">
        <f>IFERROR(ABS('📂 Raw Data'!O125),0)</f>
        <v>24</v>
      </c>
      <c r="P125" s="16">
        <v>76</v>
      </c>
      <c r="Q125" s="19" t="str">
        <f>'📂 Raw Data'!Q125</f>
        <v>Poor</v>
      </c>
      <c r="R125" s="55" t="str">
        <f>'📂 Raw Data'!R125</f>
        <v>Active</v>
      </c>
    </row>
    <row r="126" spans="1:18" ht="18" customHeight="1">
      <c r="A126" s="54" t="str">
        <f>'📂 Raw Data'!A126</f>
        <v>EMP1124</v>
      </c>
      <c r="B126" s="16" t="str">
        <f>PROPER(TRIM('📂 Raw Data'!B126))</f>
        <v>Lokesh Gupta</v>
      </c>
      <c r="C126" s="16">
        <f>'📂 Raw Data'!C126</f>
        <v>35</v>
      </c>
      <c r="D126" s="16" t="str">
        <f>IF(OR('📂 Raw Data'!D126="M",'📂 Raw Data'!D126="m"),"Male",IF(OR('📂 Raw Data'!D126="F",'📂 Raw Data'!D126="f"),"Female",PROPER('📂 Raw Data'!D126)))</f>
        <v>Female</v>
      </c>
      <c r="E126" s="17" t="str">
        <f>UPPER(TRIM('📂 Raw Data'!E126))</f>
        <v>FINANCE</v>
      </c>
      <c r="F126" s="16" t="str">
        <f>PROPER(TRIM('📂 Raw Data'!F126))</f>
        <v>Senior Accountant</v>
      </c>
      <c r="G126" s="16" t="str">
        <f>IFERROR(IF(ISNUMBER('📂 Raw Data'!G126),TEXT('📂 Raw Data'!G126,"DD-MMM-YYYY"),TEXT(DATEVALUE('📂 Raw Data'!G126),"DD-MMM-YYYY")),"Invalid Date")</f>
        <v>19-Jan-2018</v>
      </c>
      <c r="H126" s="16" t="str">
        <f>PROPER(TRIM('📂 Raw Data'!H126))</f>
        <v>Chennai</v>
      </c>
      <c r="I126" s="18">
        <f>IFERROR(IF(ISNUMBER('📂 Raw Data'!I126),ABS('📂 Raw Data'!I126),0),0)</f>
        <v>116818</v>
      </c>
      <c r="J126" s="18">
        <f>IFERROR(ABS('📂 Raw Data'!J126),0)</f>
        <v>37613</v>
      </c>
      <c r="K126" s="18">
        <f>IFERROR(ABS('📂 Raw Data'!K126),0)</f>
        <v>2310</v>
      </c>
      <c r="L126" s="18">
        <f>IFERROR(ABS('📂 Raw Data'!L126),0)</f>
        <v>3612</v>
      </c>
      <c r="M126" s="18">
        <f>IFERROR(ABS('📂 Raw Data'!M126),0)</f>
        <v>3569</v>
      </c>
      <c r="N126" s="18">
        <f t="shared" si="1"/>
        <v>163922</v>
      </c>
      <c r="O126" s="16">
        <f>IFERROR(ABS('📂 Raw Data'!O126),0)</f>
        <v>21</v>
      </c>
      <c r="P126" s="20">
        <v>49</v>
      </c>
      <c r="Q126" s="19" t="str">
        <f>'📂 Raw Data'!Q126</f>
        <v>Below Average</v>
      </c>
      <c r="R126" s="55" t="str">
        <f>'📂 Raw Data'!R126</f>
        <v>Resigned</v>
      </c>
    </row>
    <row r="127" spans="1:18" ht="18" customHeight="1">
      <c r="A127" s="54" t="str">
        <f>'📂 Raw Data'!A127</f>
        <v>EMP1125</v>
      </c>
      <c r="B127" s="16" t="str">
        <f>PROPER(TRIM('📂 Raw Data'!B127))</f>
        <v>Om Thakur</v>
      </c>
      <c r="C127" s="16">
        <f>'📂 Raw Data'!C127</f>
        <v>51</v>
      </c>
      <c r="D127" s="16" t="str">
        <f>IF(OR('📂 Raw Data'!D127="M",'📂 Raw Data'!D127="m"),"Male",IF(OR('📂 Raw Data'!D127="F",'📂 Raw Data'!D127="f"),"Female",PROPER('📂 Raw Data'!D127)))</f>
        <v>Male</v>
      </c>
      <c r="E127" s="17" t="str">
        <f>UPPER(TRIM('📂 Raw Data'!E127))</f>
        <v>OPERATIONS</v>
      </c>
      <c r="F127" s="16" t="str">
        <f>PROPER(TRIM('📂 Raw Data'!F127))</f>
        <v>Operations Executive</v>
      </c>
      <c r="G127" s="16" t="str">
        <f>IFERROR(IF(ISNUMBER('📂 Raw Data'!G127),TEXT('📂 Raw Data'!G127,"DD-MMM-YYYY"),TEXT(DATEVALUE('📂 Raw Data'!G127),"DD-MMM-YYYY")),"Invalid Date")</f>
        <v>07-Sep-2017</v>
      </c>
      <c r="H127" s="16" t="str">
        <f>PROPER(TRIM('📂 Raw Data'!H127))</f>
        <v>Hyderabad</v>
      </c>
      <c r="I127" s="18">
        <f>IFERROR(IF(ISNUMBER('📂 Raw Data'!I127),ABS('📂 Raw Data'!I127),0),0)</f>
        <v>98516</v>
      </c>
      <c r="J127" s="18">
        <f>IFERROR(ABS('📂 Raw Data'!J127),0)</f>
        <v>35959</v>
      </c>
      <c r="K127" s="18">
        <f>IFERROR(ABS('📂 Raw Data'!K127),0)</f>
        <v>12849</v>
      </c>
      <c r="L127" s="18">
        <f>IFERROR(ABS('📂 Raw Data'!L127),0)</f>
        <v>3918</v>
      </c>
      <c r="M127" s="18">
        <f>IFERROR(ABS('📂 Raw Data'!M127),0)</f>
        <v>5304</v>
      </c>
      <c r="N127" s="18">
        <f t="shared" si="1"/>
        <v>156546</v>
      </c>
      <c r="O127" s="16">
        <f>IFERROR(ABS('📂 Raw Data'!O127),0)</f>
        <v>21</v>
      </c>
      <c r="P127" s="16">
        <v>60</v>
      </c>
      <c r="Q127" s="19" t="str">
        <f>'📂 Raw Data'!Q127</f>
        <v>Average</v>
      </c>
      <c r="R127" s="55" t="str">
        <f>'📂 Raw Data'!R127</f>
        <v>Active</v>
      </c>
    </row>
    <row r="128" spans="1:18" ht="18" customHeight="1">
      <c r="A128" s="54" t="str">
        <f>'📂 Raw Data'!A128</f>
        <v>EMP1126</v>
      </c>
      <c r="B128" s="16" t="str">
        <f>PROPER(TRIM('📂 Raw Data'!B128))</f>
        <v>Hina Agarwal</v>
      </c>
      <c r="C128" s="16">
        <f>'📂 Raw Data'!C128</f>
        <v>42</v>
      </c>
      <c r="D128" s="16" t="str">
        <f>IF(OR('📂 Raw Data'!D128="M",'📂 Raw Data'!D128="m"),"Male",IF(OR('📂 Raw Data'!D128="F",'📂 Raw Data'!D128="f"),"Female",PROPER('📂 Raw Data'!D128)))</f>
        <v>Female</v>
      </c>
      <c r="E128" s="17" t="str">
        <f>UPPER(TRIM('📂 Raw Data'!E128))</f>
        <v>MARKETING</v>
      </c>
      <c r="F128" s="16" t="str">
        <f>PROPER(TRIM('📂 Raw Data'!F128))</f>
        <v>Brand Manager</v>
      </c>
      <c r="G128" s="16" t="str">
        <f>IFERROR(IF(ISNUMBER('📂 Raw Data'!G128),TEXT('📂 Raw Data'!G128,"DD-MMM-YYYY"),TEXT(DATEVALUE('📂 Raw Data'!G128),"DD-MMM-YYYY")),"Invalid Date")</f>
        <v>09-Apr-2018</v>
      </c>
      <c r="H128" s="16" t="str">
        <f>PROPER(TRIM('📂 Raw Data'!H128))</f>
        <v>Chennai</v>
      </c>
      <c r="I128" s="18">
        <f>IFERROR(IF(ISNUMBER('📂 Raw Data'!I128),ABS('📂 Raw Data'!I128),0),0)</f>
        <v>0</v>
      </c>
      <c r="J128" s="18">
        <f>IFERROR(ABS('📂 Raw Data'!J128),0)</f>
        <v>35304</v>
      </c>
      <c r="K128" s="18">
        <f>IFERROR(ABS('📂 Raw Data'!K128),0)</f>
        <v>6876</v>
      </c>
      <c r="L128" s="18">
        <f>IFERROR(ABS('📂 Raw Data'!L128),0)</f>
        <v>6317</v>
      </c>
      <c r="M128" s="18">
        <f>IFERROR(ABS('📂 Raw Data'!M128),0)</f>
        <v>3367</v>
      </c>
      <c r="N128" s="18">
        <f t="shared" si="1"/>
        <v>51864</v>
      </c>
      <c r="O128" s="16">
        <f>IFERROR(ABS('📂 Raw Data'!O128),0)</f>
        <v>26</v>
      </c>
      <c r="P128" s="20">
        <v>53</v>
      </c>
      <c r="Q128" s="19" t="str">
        <f>'📂 Raw Data'!Q128</f>
        <v>Average</v>
      </c>
      <c r="R128" s="55" t="str">
        <f>'📂 Raw Data'!R128</f>
        <v>Active</v>
      </c>
    </row>
    <row r="129" spans="1:18" ht="18" customHeight="1">
      <c r="A129" s="54" t="str">
        <f>'📂 Raw Data'!A129</f>
        <v>EMP1127</v>
      </c>
      <c r="B129" s="16" t="str">
        <f>PROPER(TRIM('📂 Raw Data'!B129))</f>
        <v>Anjali Xavier</v>
      </c>
      <c r="C129" s="16">
        <f>'📂 Raw Data'!C129</f>
        <v>44</v>
      </c>
      <c r="D129" s="16" t="str">
        <f>IF(OR('📂 Raw Data'!D129="M",'📂 Raw Data'!D129="m"),"Male",IF(OR('📂 Raw Data'!D129="F",'📂 Raw Data'!D129="f"),"Female",PROPER('📂 Raw Data'!D129)))</f>
        <v>Male</v>
      </c>
      <c r="E129" s="17" t="str">
        <f>UPPER(TRIM('📂 Raw Data'!E129))</f>
        <v>HR</v>
      </c>
      <c r="F129" s="16" t="str">
        <f>PROPER(TRIM('📂 Raw Data'!F129))</f>
        <v>Hr Executive</v>
      </c>
      <c r="G129" s="16" t="str">
        <f>IFERROR(IF(ISNUMBER('📂 Raw Data'!G129),TEXT('📂 Raw Data'!G129,"DD-MMM-YYYY"),TEXT(DATEVALUE('📂 Raw Data'!G129),"DD-MMM-YYYY")),"Invalid Date")</f>
        <v>13-Jul-2023</v>
      </c>
      <c r="H129" s="16" t="str">
        <f>PROPER(TRIM('📂 Raw Data'!H129))</f>
        <v>Chennai</v>
      </c>
      <c r="I129" s="18">
        <f>IFERROR(IF(ISNUMBER('📂 Raw Data'!I129),ABS('📂 Raw Data'!I129),0),0)</f>
        <v>70237</v>
      </c>
      <c r="J129" s="18">
        <f>IFERROR(ABS('📂 Raw Data'!J129),0)</f>
        <v>34481</v>
      </c>
      <c r="K129" s="18">
        <f>IFERROR(ABS('📂 Raw Data'!K129),0)</f>
        <v>4399</v>
      </c>
      <c r="L129" s="18">
        <f>IFERROR(ABS('📂 Raw Data'!L129),0)</f>
        <v>2379</v>
      </c>
      <c r="M129" s="18">
        <f>IFERROR(ABS('📂 Raw Data'!M129),0)</f>
        <v>1344</v>
      </c>
      <c r="N129" s="18">
        <f t="shared" si="1"/>
        <v>112840</v>
      </c>
      <c r="O129" s="16">
        <f>IFERROR(ABS('📂 Raw Data'!O129),0)</f>
        <v>19</v>
      </c>
      <c r="P129" s="16">
        <v>85</v>
      </c>
      <c r="Q129" s="19" t="str">
        <f>'📂 Raw Data'!Q129</f>
        <v>Below Average</v>
      </c>
      <c r="R129" s="55" t="str">
        <f>'📂 Raw Data'!R129</f>
        <v>On Leave</v>
      </c>
    </row>
    <row r="130" spans="1:18" ht="18" customHeight="1">
      <c r="A130" s="54" t="str">
        <f>'📂 Raw Data'!A130</f>
        <v>EMP1128</v>
      </c>
      <c r="B130" s="16" t="str">
        <f>PROPER(TRIM('📂 Raw Data'!B130))</f>
        <v>Divya Vashistha</v>
      </c>
      <c r="C130" s="16">
        <f>'📂 Raw Data'!C130</f>
        <v>25</v>
      </c>
      <c r="D130" s="16" t="str">
        <f>IF(OR('📂 Raw Data'!D130="M",'📂 Raw Data'!D130="m"),"Male",IF(OR('📂 Raw Data'!D130="F",'📂 Raw Data'!D130="f"),"Female",PROPER('📂 Raw Data'!D130)))</f>
        <v>Male</v>
      </c>
      <c r="E130" s="17" t="str">
        <f>UPPER(TRIM('📂 Raw Data'!E130))</f>
        <v>SALES</v>
      </c>
      <c r="F130" s="16" t="str">
        <f>PROPER(TRIM('📂 Raw Data'!F130))</f>
        <v>Senior Sales</v>
      </c>
      <c r="G130" s="16" t="str">
        <f>IFERROR(IF(ISNUMBER('📂 Raw Data'!G130),TEXT('📂 Raw Data'!G130,"DD-MMM-YYYY"),TEXT(DATEVALUE('📂 Raw Data'!G130),"DD-MMM-YYYY")),"Invalid Date")</f>
        <v>18-May-2023</v>
      </c>
      <c r="H130" s="16" t="str">
        <f>PROPER(TRIM('📂 Raw Data'!H130))</f>
        <v>Pune</v>
      </c>
      <c r="I130" s="18">
        <f>IFERROR(IF(ISNUMBER('📂 Raw Data'!I130),ABS('📂 Raw Data'!I130),0),0)</f>
        <v>116248</v>
      </c>
      <c r="J130" s="18">
        <f>IFERROR(ABS('📂 Raw Data'!J130),0)</f>
        <v>41189</v>
      </c>
      <c r="K130" s="18">
        <f>IFERROR(ABS('📂 Raw Data'!K130),0)</f>
        <v>3789</v>
      </c>
      <c r="L130" s="18">
        <f>IFERROR(ABS('📂 Raw Data'!L130),0)</f>
        <v>5043</v>
      </c>
      <c r="M130" s="18">
        <f>IFERROR(ABS('📂 Raw Data'!M130),0)</f>
        <v>7069</v>
      </c>
      <c r="N130" s="18">
        <f t="shared" si="1"/>
        <v>173338</v>
      </c>
      <c r="O130" s="16">
        <f>IFERROR(ABS('📂 Raw Data'!O130),0)</f>
        <v>24</v>
      </c>
      <c r="P130" s="20">
        <v>55</v>
      </c>
      <c r="Q130" s="19" t="str">
        <f>'📂 Raw Data'!Q130</f>
        <v>Good</v>
      </c>
      <c r="R130" s="55" t="str">
        <f>'📂 Raw Data'!R130</f>
        <v>Resigned</v>
      </c>
    </row>
    <row r="131" spans="1:18" ht="18" customHeight="1">
      <c r="A131" s="54" t="str">
        <f>'📂 Raw Data'!A131</f>
        <v>EMP1129</v>
      </c>
      <c r="B131" s="16" t="str">
        <f>PROPER(TRIM('📂 Raw Data'!B131))</f>
        <v>Gaurav Mehta</v>
      </c>
      <c r="C131" s="16">
        <f>'📂 Raw Data'!C131</f>
        <v>48</v>
      </c>
      <c r="D131" s="16" t="str">
        <f>IF(OR('📂 Raw Data'!D131="M",'📂 Raw Data'!D131="m"),"Male",IF(OR('📂 Raw Data'!D131="F",'📂 Raw Data'!D131="f"),"Female",PROPER('📂 Raw Data'!D131)))</f>
        <v>Male</v>
      </c>
      <c r="E131" s="17" t="str">
        <f>UPPER(TRIM('📂 Raw Data'!E131))</f>
        <v>ENGINEERING</v>
      </c>
      <c r="F131" s="16" t="str">
        <f>PROPER(TRIM('📂 Raw Data'!F131))</f>
        <v>Software Engineer</v>
      </c>
      <c r="G131" s="16" t="str">
        <f>IFERROR(IF(ISNUMBER('📂 Raw Data'!G131),TEXT('📂 Raw Data'!G131,"DD-MMM-YYYY"),TEXT(DATEVALUE('📂 Raw Data'!G131),"DD-MMM-YYYY")),"Invalid Date")</f>
        <v>23-Jun-2021</v>
      </c>
      <c r="H131" s="16" t="str">
        <f>PROPER(TRIM('📂 Raw Data'!H131))</f>
        <v>Pune</v>
      </c>
      <c r="I131" s="18">
        <f>IFERROR(IF(ISNUMBER('📂 Raw Data'!I131),ABS('📂 Raw Data'!I131),0),0)</f>
        <v>86918</v>
      </c>
      <c r="J131" s="18">
        <f>IFERROR(ABS('📂 Raw Data'!J131),0)</f>
        <v>27823</v>
      </c>
      <c r="K131" s="18">
        <f>IFERROR(ABS('📂 Raw Data'!K131),0)</f>
        <v>14628</v>
      </c>
      <c r="L131" s="18">
        <f>IFERROR(ABS('📂 Raw Data'!L131),0)</f>
        <v>1126</v>
      </c>
      <c r="M131" s="18">
        <f>IFERROR(ABS('📂 Raw Data'!M131),0)</f>
        <v>1042</v>
      </c>
      <c r="N131" s="18">
        <f t="shared" si="1"/>
        <v>131537</v>
      </c>
      <c r="O131" s="16">
        <f>IFERROR(ABS('📂 Raw Data'!O131),0)</f>
        <v>23</v>
      </c>
      <c r="P131" s="16">
        <v>99</v>
      </c>
      <c r="Q131" s="19" t="str">
        <f>'📂 Raw Data'!Q131</f>
        <v>Good</v>
      </c>
      <c r="R131" s="55" t="str">
        <f>'📂 Raw Data'!R131</f>
        <v>Active</v>
      </c>
    </row>
    <row r="132" spans="1:18" ht="18" customHeight="1">
      <c r="A132" s="54" t="str">
        <f>'📂 Raw Data'!A132</f>
        <v>EMP1130</v>
      </c>
      <c r="B132" s="16" t="str">
        <f>PROPER(TRIM('📂 Raw Data'!B132))</f>
        <v>Zeba Zafar</v>
      </c>
      <c r="C132" s="16">
        <f>'📂 Raw Data'!C132</f>
        <v>33</v>
      </c>
      <c r="D132" s="16" t="str">
        <f>IF(OR('📂 Raw Data'!D132="M",'📂 Raw Data'!D132="m"),"Male",IF(OR('📂 Raw Data'!D132="F",'📂 Raw Data'!D132="f"),"Female",PROPER('📂 Raw Data'!D132)))</f>
        <v>Male</v>
      </c>
      <c r="E132" s="17" t="str">
        <f>UPPER(TRIM('📂 Raw Data'!E132))</f>
        <v>HR</v>
      </c>
      <c r="F132" s="16" t="str">
        <f>PROPER(TRIM('📂 Raw Data'!F132))</f>
        <v>Recruiter</v>
      </c>
      <c r="G132" s="16" t="str">
        <f>IFERROR(IF(ISNUMBER('📂 Raw Data'!G132),TEXT('📂 Raw Data'!G132,"DD-MMM-YYYY"),TEXT(DATEVALUE('📂 Raw Data'!G132),"DD-MMM-YYYY")),"Invalid Date")</f>
        <v>02-Nov-2019</v>
      </c>
      <c r="H132" s="16" t="str">
        <f>PROPER(TRIM('📂 Raw Data'!H132))</f>
        <v>Chennai</v>
      </c>
      <c r="I132" s="18">
        <f>IFERROR(IF(ISNUMBER('📂 Raw Data'!I132),ABS('📂 Raw Data'!I132),0),0)</f>
        <v>36725</v>
      </c>
      <c r="J132" s="18">
        <f>IFERROR(ABS('📂 Raw Data'!J132),0)</f>
        <v>15809</v>
      </c>
      <c r="K132" s="18">
        <f>IFERROR(ABS('📂 Raw Data'!K132),0)</f>
        <v>5804</v>
      </c>
      <c r="L132" s="18">
        <f>IFERROR(ABS('📂 Raw Data'!L132),0)</f>
        <v>4383</v>
      </c>
      <c r="M132" s="18">
        <f>IFERROR(ABS('📂 Raw Data'!M132),0)</f>
        <v>7051</v>
      </c>
      <c r="N132" s="18">
        <f t="shared" ref="N132:N195" si="2">SUM(M132,L132,K132,J132,I132,)</f>
        <v>69772</v>
      </c>
      <c r="O132" s="16">
        <f>IFERROR(ABS('📂 Raw Data'!O132),0)</f>
        <v>26</v>
      </c>
      <c r="P132" s="20">
        <v>94</v>
      </c>
      <c r="Q132" s="19" t="str">
        <f>'📂 Raw Data'!Q132</f>
        <v>Below Average</v>
      </c>
      <c r="R132" s="55" t="str">
        <f>'📂 Raw Data'!R132</f>
        <v>Active</v>
      </c>
    </row>
    <row r="133" spans="1:18" ht="18" customHeight="1">
      <c r="A133" s="54" t="str">
        <f>'📂 Raw Data'!A133</f>
        <v>EMP1131</v>
      </c>
      <c r="B133" s="16" t="str">
        <f>PROPER(TRIM('📂 Raw Data'!B133))</f>
        <v>Rahul Ahuja</v>
      </c>
      <c r="C133" s="16">
        <f>'📂 Raw Data'!C133</f>
        <v>30</v>
      </c>
      <c r="D133" s="16" t="str">
        <f>IF(OR('📂 Raw Data'!D133="M",'📂 Raw Data'!D133="m"),"Male",IF(OR('📂 Raw Data'!D133="F",'📂 Raw Data'!D133="f"),"Female",PROPER('📂 Raw Data'!D133)))</f>
        <v>Female</v>
      </c>
      <c r="E133" s="17" t="str">
        <f>UPPER(TRIM('📂 Raw Data'!E133))</f>
        <v>SALES</v>
      </c>
      <c r="F133" s="16" t="str">
        <f>PROPER(TRIM('📂 Raw Data'!F133))</f>
        <v>Sales Manager</v>
      </c>
      <c r="G133" s="16" t="str">
        <f>IFERROR(IF(ISNUMBER('📂 Raw Data'!G133),TEXT('📂 Raw Data'!G133,"DD-MMM-YYYY"),TEXT(DATEVALUE('📂 Raw Data'!G133),"DD-MMM-YYYY")),"Invalid Date")</f>
        <v>10-Jan-2015</v>
      </c>
      <c r="H133" s="16" t="str">
        <f>PROPER(TRIM('📂 Raw Data'!H133))</f>
        <v>Kolkata</v>
      </c>
      <c r="I133" s="18">
        <f>IFERROR(IF(ISNUMBER('📂 Raw Data'!I133),ABS('📂 Raw Data'!I133),0),0)</f>
        <v>99443</v>
      </c>
      <c r="J133" s="18">
        <f>IFERROR(ABS('📂 Raw Data'!J133),0)</f>
        <v>41821</v>
      </c>
      <c r="K133" s="18">
        <f>IFERROR(ABS('📂 Raw Data'!K133),0)</f>
        <v>7489</v>
      </c>
      <c r="L133" s="18">
        <f>IFERROR(ABS('📂 Raw Data'!L133),0)</f>
        <v>2331</v>
      </c>
      <c r="M133" s="18">
        <f>IFERROR(ABS('📂 Raw Data'!M133),0)</f>
        <v>4722</v>
      </c>
      <c r="N133" s="18">
        <f t="shared" si="2"/>
        <v>155806</v>
      </c>
      <c r="O133" s="16">
        <f>IFERROR(ABS('📂 Raw Data'!O133),0)</f>
        <v>25</v>
      </c>
      <c r="P133" s="16">
        <v>74</v>
      </c>
      <c r="Q133" s="19" t="str">
        <f>'📂 Raw Data'!Q133</f>
        <v>Good</v>
      </c>
      <c r="R133" s="55" t="str">
        <f>'📂 Raw Data'!R133</f>
        <v>Resigned</v>
      </c>
    </row>
    <row r="134" spans="1:18" ht="18" customHeight="1">
      <c r="A134" s="54" t="str">
        <f>'📂 Raw Data'!A134</f>
        <v>EMP1132</v>
      </c>
      <c r="B134" s="16" t="str">
        <f>PROPER(TRIM('📂 Raw Data'!B134))</f>
        <v>Deepa Vashistha</v>
      </c>
      <c r="C134" s="16">
        <f>'📂 Raw Data'!C134</f>
        <v>34</v>
      </c>
      <c r="D134" s="16" t="str">
        <f>IF(OR('📂 Raw Data'!D134="M",'📂 Raw Data'!D134="m"),"Male",IF(OR('📂 Raw Data'!D134="F",'📂 Raw Data'!D134="f"),"Female",PROPER('📂 Raw Data'!D134)))</f>
        <v>Female</v>
      </c>
      <c r="E134" s="17" t="str">
        <f>UPPER(TRIM('📂 Raw Data'!E134))</f>
        <v>ENGINEERING</v>
      </c>
      <c r="F134" s="16" t="str">
        <f>PROPER(TRIM('📂 Raw Data'!F134))</f>
        <v>Tech Lead</v>
      </c>
      <c r="G134" s="16" t="str">
        <f>IFERROR(IF(ISNUMBER('📂 Raw Data'!G134),TEXT('📂 Raw Data'!G134,"DD-MMM-YYYY"),TEXT(DATEVALUE('📂 Raw Data'!G134),"DD-MMM-YYYY")),"Invalid Date")</f>
        <v>15-Dec-2017</v>
      </c>
      <c r="H134" s="16" t="str">
        <f>PROPER(TRIM('📂 Raw Data'!H134))</f>
        <v>Delhi</v>
      </c>
      <c r="I134" s="18">
        <f>IFERROR(IF(ISNUMBER('📂 Raw Data'!I134),ABS('📂 Raw Data'!I134),0),0)</f>
        <v>109972</v>
      </c>
      <c r="J134" s="18">
        <f>IFERROR(ABS('📂 Raw Data'!J134),0)</f>
        <v>38650</v>
      </c>
      <c r="K134" s="18">
        <f>IFERROR(ABS('📂 Raw Data'!K134),0)</f>
        <v>5050</v>
      </c>
      <c r="L134" s="18">
        <f>IFERROR(ABS('📂 Raw Data'!L134),0)</f>
        <v>115</v>
      </c>
      <c r="M134" s="18">
        <f>IFERROR(ABS('📂 Raw Data'!M134),0)</f>
        <v>7034</v>
      </c>
      <c r="N134" s="18">
        <f t="shared" si="2"/>
        <v>160821</v>
      </c>
      <c r="O134" s="16">
        <f>IFERROR(ABS('📂 Raw Data'!O134),0)</f>
        <v>20</v>
      </c>
      <c r="P134" s="20">
        <f>IFERROR(ABS('📂 Raw Data'!P3),0)</f>
        <v>67</v>
      </c>
      <c r="Q134" s="19" t="str">
        <f>'📂 Raw Data'!Q134</f>
        <v>Below Average</v>
      </c>
      <c r="R134" s="55" t="str">
        <f>'📂 Raw Data'!R134</f>
        <v>Resigned</v>
      </c>
    </row>
    <row r="135" spans="1:18" ht="18" customHeight="1">
      <c r="A135" s="54" t="str">
        <f>'📂 Raw Data'!A135</f>
        <v>EMP1133</v>
      </c>
      <c r="B135" s="16" t="str">
        <f>PROPER(TRIM('📂 Raw Data'!B135))</f>
        <v>Farhan Ahuja</v>
      </c>
      <c r="C135" s="16">
        <f>'📂 Raw Data'!C135</f>
        <v>46</v>
      </c>
      <c r="D135" s="16" t="str">
        <f>IF(OR('📂 Raw Data'!D135="M",'📂 Raw Data'!D135="m"),"Male",IF(OR('📂 Raw Data'!D135="F",'📂 Raw Data'!D135="f"),"Female",PROPER('📂 Raw Data'!D135)))</f>
        <v>Female</v>
      </c>
      <c r="E135" s="17" t="str">
        <f>UPPER(TRIM('📂 Raw Data'!E135))</f>
        <v>FINANCE</v>
      </c>
      <c r="F135" s="16" t="str">
        <f>PROPER(TRIM('📂 Raw Data'!F135))</f>
        <v>Finance Manager</v>
      </c>
      <c r="G135" s="16" t="str">
        <f>IFERROR(IF(ISNUMBER('📂 Raw Data'!G135),TEXT('📂 Raw Data'!G135,"DD-MMM-YYYY"),TEXT(DATEVALUE('📂 Raw Data'!G135),"DD-MMM-YYYY")),"Invalid Date")</f>
        <v>22-Jul-2016</v>
      </c>
      <c r="H135" s="16" t="str">
        <f>PROPER(TRIM('📂 Raw Data'!H135))</f>
        <v>Delhi</v>
      </c>
      <c r="I135" s="18">
        <f>IFERROR(IF(ISNUMBER('📂 Raw Data'!I135),ABS('📂 Raw Data'!I135),0),0)</f>
        <v>37502</v>
      </c>
      <c r="J135" s="18">
        <f>IFERROR(ABS('📂 Raw Data'!J135),0)</f>
        <v>12637</v>
      </c>
      <c r="K135" s="18">
        <f>IFERROR(ABS('📂 Raw Data'!K135),0)</f>
        <v>4303</v>
      </c>
      <c r="L135" s="18">
        <f>IFERROR(ABS('📂 Raw Data'!L135),0)</f>
        <v>3911</v>
      </c>
      <c r="M135" s="18">
        <f>IFERROR(ABS('📂 Raw Data'!M135),0)</f>
        <v>3650</v>
      </c>
      <c r="N135" s="18">
        <f t="shared" si="2"/>
        <v>62003</v>
      </c>
      <c r="O135" s="16">
        <f>IFERROR(ABS('📂 Raw Data'!O135),0)</f>
        <v>18</v>
      </c>
      <c r="P135" s="20">
        <f>IFERROR(ABS('📂 Raw Data'!P4),0)</f>
        <v>69</v>
      </c>
      <c r="Q135" s="19" t="str">
        <f>'📂 Raw Data'!Q135</f>
        <v>Average</v>
      </c>
      <c r="R135" s="55" t="str">
        <f>'📂 Raw Data'!R135</f>
        <v>Active</v>
      </c>
    </row>
    <row r="136" spans="1:18" ht="18" customHeight="1">
      <c r="A136" s="54" t="str">
        <f>'📂 Raw Data'!A136</f>
        <v>EMP1134</v>
      </c>
      <c r="B136" s="16" t="str">
        <f>PROPER(TRIM('📂 Raw Data'!B136))</f>
        <v>Jyoti Dixit</v>
      </c>
      <c r="C136" s="16">
        <f>'📂 Raw Data'!C136</f>
        <v>54</v>
      </c>
      <c r="D136" s="16" t="str">
        <f>IF(OR('📂 Raw Data'!D136="M",'📂 Raw Data'!D136="m"),"Male",IF(OR('📂 Raw Data'!D136="F",'📂 Raw Data'!D136="f"),"Female",PROPER('📂 Raw Data'!D136)))</f>
        <v>Female</v>
      </c>
      <c r="E136" s="17" t="str">
        <f>UPPER(TRIM('📂 Raw Data'!E136))</f>
        <v>HR</v>
      </c>
      <c r="F136" s="16" t="str">
        <f>PROPER(TRIM('📂 Raw Data'!F136))</f>
        <v>Hr Executive</v>
      </c>
      <c r="G136" s="16" t="str">
        <f>IFERROR(IF(ISNUMBER('📂 Raw Data'!G136),TEXT('📂 Raw Data'!G136,"DD-MMM-YYYY"),TEXT(DATEVALUE('📂 Raw Data'!G136),"DD-MMM-YYYY")),"Invalid Date")</f>
        <v>12-Nov-2019</v>
      </c>
      <c r="H136" s="16" t="str">
        <f>PROPER(TRIM('📂 Raw Data'!H136))</f>
        <v>Pune</v>
      </c>
      <c r="I136" s="18">
        <f>IFERROR(IF(ISNUMBER('📂 Raw Data'!I136),ABS('📂 Raw Data'!I136),0),0)</f>
        <v>115802</v>
      </c>
      <c r="J136" s="18">
        <f>IFERROR(ABS('📂 Raw Data'!J136),0)</f>
        <v>40213</v>
      </c>
      <c r="K136" s="18">
        <f>IFERROR(ABS('📂 Raw Data'!K136),0)</f>
        <v>12941</v>
      </c>
      <c r="L136" s="18">
        <f>IFERROR(ABS('📂 Raw Data'!L136),0)</f>
        <v>968</v>
      </c>
      <c r="M136" s="18">
        <f>IFERROR(ABS('📂 Raw Data'!M136),0)</f>
        <v>4812</v>
      </c>
      <c r="N136" s="18">
        <f t="shared" si="2"/>
        <v>174736</v>
      </c>
      <c r="O136" s="16">
        <f>IFERROR(ABS('📂 Raw Data'!O136),0)</f>
        <v>19</v>
      </c>
      <c r="P136" s="20">
        <f>IFERROR(ABS('📂 Raw Data'!P5),0)</f>
        <v>72</v>
      </c>
      <c r="Q136" s="19" t="str">
        <f>'📂 Raw Data'!Q136</f>
        <v>Average</v>
      </c>
      <c r="R136" s="55" t="str">
        <f>'📂 Raw Data'!R136</f>
        <v>Active</v>
      </c>
    </row>
    <row r="137" spans="1:18" ht="18" customHeight="1">
      <c r="A137" s="54" t="str">
        <f>'📂 Raw Data'!A137</f>
        <v>EMP1135</v>
      </c>
      <c r="B137" s="16" t="str">
        <f>PROPER(TRIM('📂 Raw Data'!B137))</f>
        <v>Bhavna Das</v>
      </c>
      <c r="C137" s="16">
        <f>'📂 Raw Data'!C137</f>
        <v>35</v>
      </c>
      <c r="D137" s="16" t="str">
        <f>IF(OR('📂 Raw Data'!D137="M",'📂 Raw Data'!D137="m"),"Male",IF(OR('📂 Raw Data'!D137="F",'📂 Raw Data'!D137="f"),"Female",PROPER('📂 Raw Data'!D137)))</f>
        <v>Female</v>
      </c>
      <c r="E137" s="17" t="str">
        <f>UPPER(TRIM('📂 Raw Data'!E137))</f>
        <v>HR</v>
      </c>
      <c r="F137" s="16" t="str">
        <f>PROPER(TRIM('📂 Raw Data'!F137))</f>
        <v>Hr Manager</v>
      </c>
      <c r="G137" s="16" t="str">
        <f>IFERROR(IF(ISNUMBER('📂 Raw Data'!G137),TEXT('📂 Raw Data'!G137,"DD-MMM-YYYY"),TEXT(DATEVALUE('📂 Raw Data'!G137),"DD-MMM-YYYY")),"Invalid Date")</f>
        <v>16-Mar-2018</v>
      </c>
      <c r="H137" s="16" t="str">
        <f>PROPER(TRIM('📂 Raw Data'!H137))</f>
        <v>Kolkata</v>
      </c>
      <c r="I137" s="18">
        <f>IFERROR(IF(ISNUMBER('📂 Raw Data'!I137),ABS('📂 Raw Data'!I137),0),0)</f>
        <v>45078</v>
      </c>
      <c r="J137" s="18">
        <f>IFERROR(ABS('📂 Raw Data'!J137),0)</f>
        <v>17625</v>
      </c>
      <c r="K137" s="18">
        <f>IFERROR(ABS('📂 Raw Data'!K137),0)</f>
        <v>11924</v>
      </c>
      <c r="L137" s="18">
        <f>IFERROR(ABS('📂 Raw Data'!L137),0)</f>
        <v>3060</v>
      </c>
      <c r="M137" s="18">
        <f>IFERROR(ABS('📂 Raw Data'!M137),0)</f>
        <v>4406</v>
      </c>
      <c r="N137" s="18">
        <f t="shared" si="2"/>
        <v>82093</v>
      </c>
      <c r="O137" s="16">
        <f>IFERROR(ABS('📂 Raw Data'!O137),0)</f>
        <v>26</v>
      </c>
      <c r="P137" s="20">
        <f>IFERROR(ABS('📂 Raw Data'!P6),0)</f>
        <v>78</v>
      </c>
      <c r="Q137" s="19" t="str">
        <f>'📂 Raw Data'!Q137</f>
        <v>Poor</v>
      </c>
      <c r="R137" s="55" t="str">
        <f>'📂 Raw Data'!R137</f>
        <v>Active</v>
      </c>
    </row>
    <row r="138" spans="1:18" ht="18" customHeight="1">
      <c r="A138" s="54" t="str">
        <f>'📂 Raw Data'!A138</f>
        <v>EMP1136</v>
      </c>
      <c r="B138" s="16" t="str">
        <f>PROPER(TRIM('📂 Raw Data'!B138))</f>
        <v>Deepa Naik</v>
      </c>
      <c r="C138" s="16">
        <f>'📂 Raw Data'!C138</f>
        <v>31</v>
      </c>
      <c r="D138" s="16" t="str">
        <f>IF(OR('📂 Raw Data'!D138="M",'📂 Raw Data'!D138="m"),"Male",IF(OR('📂 Raw Data'!D138="F",'📂 Raw Data'!D138="f"),"Female",PROPER('📂 Raw Data'!D138)))</f>
        <v>Male</v>
      </c>
      <c r="E138" s="17" t="str">
        <f>UPPER(TRIM('📂 Raw Data'!E138))</f>
        <v>ENGINEERING</v>
      </c>
      <c r="F138" s="16" t="str">
        <f>PROPER(TRIM('📂 Raw Data'!F138))</f>
        <v>Qa Engineer</v>
      </c>
      <c r="G138" s="16" t="str">
        <f>IFERROR(IF(ISNUMBER('📂 Raw Data'!G138),TEXT('📂 Raw Data'!G138,"DD-MMM-YYYY"),TEXT(DATEVALUE('📂 Raw Data'!G138),"DD-MMM-YYYY")),"Invalid Date")</f>
        <v>12-Dec-2023</v>
      </c>
      <c r="H138" s="16" t="str">
        <f>PROPER(TRIM('📂 Raw Data'!H138))</f>
        <v>Delhi</v>
      </c>
      <c r="I138" s="18">
        <f>IFERROR(IF(ISNUMBER('📂 Raw Data'!I138),ABS('📂 Raw Data'!I138),0),0)</f>
        <v>35237</v>
      </c>
      <c r="J138" s="18">
        <f>IFERROR(ABS('📂 Raw Data'!J138),0)</f>
        <v>17035</v>
      </c>
      <c r="K138" s="18">
        <f>IFERROR(ABS('📂 Raw Data'!K138),0)</f>
        <v>3838</v>
      </c>
      <c r="L138" s="18">
        <f>IFERROR(ABS('📂 Raw Data'!L138),0)</f>
        <v>505</v>
      </c>
      <c r="M138" s="18">
        <f>IFERROR(ABS('📂 Raw Data'!M138),0)</f>
        <v>7789</v>
      </c>
      <c r="N138" s="18">
        <f t="shared" si="2"/>
        <v>64404</v>
      </c>
      <c r="O138" s="16">
        <f>IFERROR(ABS('📂 Raw Data'!O138),0)</f>
        <v>23</v>
      </c>
      <c r="P138" s="20">
        <f>IFERROR(ABS('📂 Raw Data'!P7),0)</f>
        <v>48</v>
      </c>
      <c r="Q138" s="19" t="str">
        <f>'📂 Raw Data'!Q138</f>
        <v>Below Average</v>
      </c>
      <c r="R138" s="55" t="str">
        <f>'📂 Raw Data'!R138</f>
        <v>Active</v>
      </c>
    </row>
    <row r="139" spans="1:18" ht="18" customHeight="1">
      <c r="A139" s="54" t="str">
        <f>'📂 Raw Data'!A139</f>
        <v>EMP1137</v>
      </c>
      <c r="B139" s="16" t="str">
        <f>PROPER(TRIM('📂 Raw Data'!B139))</f>
        <v>Chirag Yadav</v>
      </c>
      <c r="C139" s="16">
        <f>'📂 Raw Data'!C139</f>
        <v>51</v>
      </c>
      <c r="D139" s="16" t="str">
        <f>IF(OR('📂 Raw Data'!D139="M",'📂 Raw Data'!D139="m"),"Male",IF(OR('📂 Raw Data'!D139="F",'📂 Raw Data'!D139="f"),"Female",PROPER('📂 Raw Data'!D139)))</f>
        <v>Male</v>
      </c>
      <c r="E139" s="17" t="str">
        <f>UPPER(TRIM('📂 Raw Data'!E139))</f>
        <v>ENGINEERING</v>
      </c>
      <c r="F139" s="16" t="str">
        <f>PROPER(TRIM('📂 Raw Data'!F139))</f>
        <v>Senior Engineer</v>
      </c>
      <c r="G139" s="16" t="str">
        <f>IFERROR(IF(ISNUMBER('📂 Raw Data'!G139),TEXT('📂 Raw Data'!G139,"DD-MMM-YYYY"),TEXT(DATEVALUE('📂 Raw Data'!G139),"DD-MMM-YYYY")),"Invalid Date")</f>
        <v>17-Feb-2022</v>
      </c>
      <c r="H139" s="16" t="str">
        <f>PROPER(TRIM('📂 Raw Data'!H139))</f>
        <v>Pune</v>
      </c>
      <c r="I139" s="18">
        <f>IFERROR(IF(ISNUMBER('📂 Raw Data'!I139),ABS('📂 Raw Data'!I139),0),0)</f>
        <v>83390</v>
      </c>
      <c r="J139" s="18">
        <f>IFERROR(ABS('📂 Raw Data'!J139),0)</f>
        <v>38504</v>
      </c>
      <c r="K139" s="18">
        <f>IFERROR(ABS('📂 Raw Data'!K139),0)</f>
        <v>9429</v>
      </c>
      <c r="L139" s="18">
        <f>IFERROR(ABS('📂 Raw Data'!L139),0)</f>
        <v>1080</v>
      </c>
      <c r="M139" s="18">
        <f>IFERROR(ABS('📂 Raw Data'!M139),0)</f>
        <v>5204</v>
      </c>
      <c r="N139" s="18">
        <f t="shared" si="2"/>
        <v>137607</v>
      </c>
      <c r="O139" s="16">
        <f>IFERROR(ABS('📂 Raw Data'!O139),0)</f>
        <v>21</v>
      </c>
      <c r="P139" s="20">
        <f>IFERROR(ABS('📂 Raw Data'!P8),0)</f>
        <v>54</v>
      </c>
      <c r="Q139" s="19" t="str">
        <f>'📂 Raw Data'!Q139</f>
        <v>Below Average</v>
      </c>
      <c r="R139" s="55" t="str">
        <f>'📂 Raw Data'!R139</f>
        <v>Active</v>
      </c>
    </row>
    <row r="140" spans="1:18" ht="18" customHeight="1">
      <c r="A140" s="54" t="str">
        <f>'📂 Raw Data'!A140</f>
        <v>EMP1138</v>
      </c>
      <c r="B140" s="16" t="str">
        <f>PROPER(TRIM('📂 Raw Data'!B140))</f>
        <v>Aarav Sharma</v>
      </c>
      <c r="C140" s="16">
        <f>'📂 Raw Data'!C140</f>
        <v>52</v>
      </c>
      <c r="D140" s="16" t="str">
        <f>IF(OR('📂 Raw Data'!D140="M",'📂 Raw Data'!D140="m"),"Male",IF(OR('📂 Raw Data'!D140="F",'📂 Raw Data'!D140="f"),"Female",PROPER('📂 Raw Data'!D140)))</f>
        <v>Male</v>
      </c>
      <c r="E140" s="17" t="str">
        <f>UPPER(TRIM('📂 Raw Data'!E140))</f>
        <v>HR</v>
      </c>
      <c r="F140" s="16" t="str">
        <f>PROPER(TRIM('📂 Raw Data'!F140))</f>
        <v>Hr Executive</v>
      </c>
      <c r="G140" s="16" t="str">
        <f>IFERROR(IF(ISNUMBER('📂 Raw Data'!G140),TEXT('📂 Raw Data'!G140,"DD-MMM-YYYY"),TEXT(DATEVALUE('📂 Raw Data'!G140),"DD-MMM-YYYY")),"Invalid Date")</f>
        <v>03-Oct-2018</v>
      </c>
      <c r="H140" s="16" t="str">
        <f>PROPER(TRIM('📂 Raw Data'!H140))</f>
        <v>Mumbai</v>
      </c>
      <c r="I140" s="18">
        <f>IFERROR(IF(ISNUMBER('📂 Raw Data'!I140),ABS('📂 Raw Data'!I140),0),0)</f>
        <v>30936</v>
      </c>
      <c r="J140" s="18">
        <f>IFERROR(ABS('📂 Raw Data'!J140),0)</f>
        <v>11902</v>
      </c>
      <c r="K140" s="18">
        <f>IFERROR(ABS('📂 Raw Data'!K140),0)</f>
        <v>13475</v>
      </c>
      <c r="L140" s="18">
        <f>IFERROR(ABS('📂 Raw Data'!L140),0)</f>
        <v>522</v>
      </c>
      <c r="M140" s="18">
        <f>IFERROR(ABS('📂 Raw Data'!M140),0)</f>
        <v>5433</v>
      </c>
      <c r="N140" s="18">
        <f t="shared" si="2"/>
        <v>62268</v>
      </c>
      <c r="O140" s="16">
        <f>IFERROR(ABS('📂 Raw Data'!O140),0)</f>
        <v>15</v>
      </c>
      <c r="P140" s="20">
        <f>IFERROR(ABS('📂 Raw Data'!P9),0)</f>
        <v>72</v>
      </c>
      <c r="Q140" s="19" t="str">
        <f>'📂 Raw Data'!Q140</f>
        <v>Good</v>
      </c>
      <c r="R140" s="55" t="str">
        <f>'📂 Raw Data'!R140</f>
        <v>Active</v>
      </c>
    </row>
    <row r="141" spans="1:18" ht="18" customHeight="1">
      <c r="A141" s="54" t="str">
        <f>'📂 Raw Data'!A141</f>
        <v>EMP1139</v>
      </c>
      <c r="B141" s="16" t="str">
        <f>PROPER(TRIM('📂 Raw Data'!B141))</f>
        <v>Vikas Naik</v>
      </c>
      <c r="C141" s="16">
        <f>'📂 Raw Data'!C141</f>
        <v>29</v>
      </c>
      <c r="D141" s="16" t="str">
        <f>IF(OR('📂 Raw Data'!D141="M",'📂 Raw Data'!D141="m"),"Male",IF(OR('📂 Raw Data'!D141="F",'📂 Raw Data'!D141="f"),"Female",PROPER('📂 Raw Data'!D141)))</f>
        <v>Female</v>
      </c>
      <c r="E141" s="17" t="str">
        <f>UPPER(TRIM('📂 Raw Data'!E141))</f>
        <v>OPERATIONS</v>
      </c>
      <c r="F141" s="16" t="str">
        <f>PROPER(TRIM('📂 Raw Data'!F141))</f>
        <v>Coordinator</v>
      </c>
      <c r="G141" s="16" t="str">
        <f>IFERROR(IF(ISNUMBER('📂 Raw Data'!G141),TEXT('📂 Raw Data'!G141,"DD-MMM-YYYY"),TEXT(DATEVALUE('📂 Raw Data'!G141),"DD-MMM-YYYY")),"Invalid Date")</f>
        <v>15-Jul-2020</v>
      </c>
      <c r="H141" s="16" t="str">
        <f>PROPER(TRIM('📂 Raw Data'!H141))</f>
        <v>Delhi</v>
      </c>
      <c r="I141" s="18">
        <f>IFERROR(IF(ISNUMBER('📂 Raw Data'!I141),ABS('📂 Raw Data'!I141),0),0)</f>
        <v>74479</v>
      </c>
      <c r="J141" s="18">
        <f>IFERROR(ABS('📂 Raw Data'!J141),0)</f>
        <v>27939</v>
      </c>
      <c r="K141" s="18">
        <f>IFERROR(ABS('📂 Raw Data'!K141),0)</f>
        <v>13185</v>
      </c>
      <c r="L141" s="18">
        <f>IFERROR(ABS('📂 Raw Data'!L141),0)</f>
        <v>7898</v>
      </c>
      <c r="M141" s="18">
        <f>IFERROR(ABS('📂 Raw Data'!M141),0)</f>
        <v>6421</v>
      </c>
      <c r="N141" s="18">
        <f t="shared" si="2"/>
        <v>129922</v>
      </c>
      <c r="O141" s="16">
        <f>IFERROR(ABS('📂 Raw Data'!O141),0)</f>
        <v>23</v>
      </c>
      <c r="P141" s="20">
        <f>IFERROR(ABS('📂 Raw Data'!P10),0)</f>
        <v>67</v>
      </c>
      <c r="Q141" s="19" t="str">
        <f>'📂 Raw Data'!Q141</f>
        <v>Good</v>
      </c>
      <c r="R141" s="55" t="str">
        <f>'📂 Raw Data'!R141</f>
        <v>Resigned</v>
      </c>
    </row>
    <row r="142" spans="1:18" ht="18" customHeight="1">
      <c r="A142" s="54" t="str">
        <f>'📂 Raw Data'!A142</f>
        <v>EMP1140</v>
      </c>
      <c r="B142" s="16" t="str">
        <f>PROPER(TRIM('📂 Raw Data'!B142))</f>
        <v>Riya Ahuja</v>
      </c>
      <c r="C142" s="16">
        <f>'📂 Raw Data'!C142</f>
        <v>37</v>
      </c>
      <c r="D142" s="16" t="str">
        <f>IF(OR('📂 Raw Data'!D142="M",'📂 Raw Data'!D142="m"),"Male",IF(OR('📂 Raw Data'!D142="F",'📂 Raw Data'!D142="f"),"Female",PROPER('📂 Raw Data'!D142)))</f>
        <v>Male</v>
      </c>
      <c r="E142" s="17" t="str">
        <f>UPPER(TRIM('📂 Raw Data'!E142))</f>
        <v>OPERATIONS</v>
      </c>
      <c r="F142" s="16" t="str">
        <f>PROPER(TRIM('📂 Raw Data'!F142))</f>
        <v>Logistics Manager</v>
      </c>
      <c r="G142" s="16" t="str">
        <f>IFERROR(IF(ISNUMBER('📂 Raw Data'!G142),TEXT('📂 Raw Data'!G142,"DD-MMM-YYYY"),TEXT(DATEVALUE('📂 Raw Data'!G142),"DD-MMM-YYYY")),"Invalid Date")</f>
        <v>10-Jan-2015</v>
      </c>
      <c r="H142" s="16" t="str">
        <f>PROPER(TRIM('📂 Raw Data'!H142))</f>
        <v>Chennai</v>
      </c>
      <c r="I142" s="18">
        <f>IFERROR(IF(ISNUMBER('📂 Raw Data'!I142),ABS('📂 Raw Data'!I142),0),0)</f>
        <v>85686</v>
      </c>
      <c r="J142" s="18">
        <f>IFERROR(ABS('📂 Raw Data'!J142),0)</f>
        <v>37248</v>
      </c>
      <c r="K142" s="18">
        <f>IFERROR(ABS('📂 Raw Data'!K142),0)</f>
        <v>10920</v>
      </c>
      <c r="L142" s="18">
        <f>IFERROR(ABS('📂 Raw Data'!L142),0)</f>
        <v>3474</v>
      </c>
      <c r="M142" s="18">
        <f>IFERROR(ABS('📂 Raw Data'!M142),0)</f>
        <v>5357</v>
      </c>
      <c r="N142" s="18">
        <f t="shared" si="2"/>
        <v>142685</v>
      </c>
      <c r="O142" s="16">
        <f>IFERROR(ABS('📂 Raw Data'!O142),0)</f>
        <v>21</v>
      </c>
      <c r="P142" s="20">
        <f>IFERROR(ABS('📂 Raw Data'!P11),0)</f>
        <v>57</v>
      </c>
      <c r="Q142" s="19" t="str">
        <f>'📂 Raw Data'!Q142</f>
        <v>Good</v>
      </c>
      <c r="R142" s="55" t="str">
        <f>'📂 Raw Data'!R142</f>
        <v>Active</v>
      </c>
    </row>
    <row r="143" spans="1:18" ht="18" customHeight="1">
      <c r="A143" s="54" t="str">
        <f>'📂 Raw Data'!A143</f>
        <v>EMP1141</v>
      </c>
      <c r="B143" s="16" t="str">
        <f>PROPER(TRIM('📂 Raw Data'!B143))</f>
        <v>Sunita Khanna</v>
      </c>
      <c r="C143" s="16">
        <f>'📂 Raw Data'!C143</f>
        <v>50</v>
      </c>
      <c r="D143" s="16" t="str">
        <f>IF(OR('📂 Raw Data'!D143="M",'📂 Raw Data'!D143="m"),"Male",IF(OR('📂 Raw Data'!D143="F",'📂 Raw Data'!D143="f"),"Female",PROPER('📂 Raw Data'!D143)))</f>
        <v>Male</v>
      </c>
      <c r="E143" s="17" t="str">
        <f>UPPER(TRIM('📂 Raw Data'!E143))</f>
        <v>OPERATIONS</v>
      </c>
      <c r="F143" s="16" t="str">
        <f>PROPER(TRIM('📂 Raw Data'!F143))</f>
        <v>Operations Executive</v>
      </c>
      <c r="G143" s="16" t="str">
        <f>IFERROR(IF(ISNUMBER('📂 Raw Data'!G143),TEXT('📂 Raw Data'!G143,"DD-MMM-YYYY"),TEXT(DATEVALUE('📂 Raw Data'!G143),"DD-MMM-YYYY")),"Invalid Date")</f>
        <v>11-Jan-2015</v>
      </c>
      <c r="H143" s="16" t="str">
        <f>PROPER(TRIM('📂 Raw Data'!H143))</f>
        <v>Hyderabad</v>
      </c>
      <c r="I143" s="18">
        <f>IFERROR(IF(ISNUMBER('📂 Raw Data'!I143),ABS('📂 Raw Data'!I143),0),0)</f>
        <v>105599</v>
      </c>
      <c r="J143" s="18">
        <f>IFERROR(ABS('📂 Raw Data'!J143),0)</f>
        <v>47859</v>
      </c>
      <c r="K143" s="18">
        <f>IFERROR(ABS('📂 Raw Data'!K143),0)</f>
        <v>2256</v>
      </c>
      <c r="L143" s="18">
        <f>IFERROR(ABS('📂 Raw Data'!L143),0)</f>
        <v>1971</v>
      </c>
      <c r="M143" s="18">
        <f>IFERROR(ABS('📂 Raw Data'!M143),0)</f>
        <v>2688</v>
      </c>
      <c r="N143" s="18">
        <f t="shared" si="2"/>
        <v>160373</v>
      </c>
      <c r="O143" s="16">
        <f>IFERROR(ABS('📂 Raw Data'!O143),0)</f>
        <v>16</v>
      </c>
      <c r="P143" s="20">
        <f>IFERROR(ABS('📂 Raw Data'!P12),0)</f>
        <v>97</v>
      </c>
      <c r="Q143" s="19" t="str">
        <f>'📂 Raw Data'!Q143</f>
        <v>Good</v>
      </c>
      <c r="R143" s="55" t="str">
        <f>'📂 Raw Data'!R143</f>
        <v>On Leave</v>
      </c>
    </row>
    <row r="144" spans="1:18" ht="18" customHeight="1">
      <c r="A144" s="54" t="str">
        <f>'📂 Raw Data'!A144</f>
        <v>EMP1142</v>
      </c>
      <c r="B144" s="16" t="str">
        <f>PROPER(TRIM('📂 Raw Data'!B144))</f>
        <v>Lokesh Iyer</v>
      </c>
      <c r="C144" s="16">
        <f>'📂 Raw Data'!C144</f>
        <v>42</v>
      </c>
      <c r="D144" s="16" t="str">
        <f>IF(OR('📂 Raw Data'!D144="M",'📂 Raw Data'!D144="m"),"Male",IF(OR('📂 Raw Data'!D144="F",'📂 Raw Data'!D144="f"),"Female",PROPER('📂 Raw Data'!D144)))</f>
        <v>Male</v>
      </c>
      <c r="E144" s="17" t="str">
        <f>UPPER(TRIM('📂 Raw Data'!E144))</f>
        <v>OPERATIONS</v>
      </c>
      <c r="F144" s="16" t="str">
        <f>PROPER(TRIM('📂 Raw Data'!F144))</f>
        <v>Operations Executive</v>
      </c>
      <c r="G144" s="16" t="str">
        <f>IFERROR(IF(ISNUMBER('📂 Raw Data'!G144),TEXT('📂 Raw Data'!G144,"DD-MMM-YYYY"),TEXT(DATEVALUE('📂 Raw Data'!G144),"DD-MMM-YYYY")),"Invalid Date")</f>
        <v>08-Aug-2021</v>
      </c>
      <c r="H144" s="16" t="str">
        <f>PROPER(TRIM('📂 Raw Data'!H144))</f>
        <v>Hyderabad</v>
      </c>
      <c r="I144" s="18">
        <f>IFERROR(IF(ISNUMBER('📂 Raw Data'!I144),ABS('📂 Raw Data'!I144),0),0)</f>
        <v>95747</v>
      </c>
      <c r="J144" s="18">
        <f>IFERROR(ABS('📂 Raw Data'!J144),0)</f>
        <v>32885</v>
      </c>
      <c r="K144" s="18">
        <f>IFERROR(ABS('📂 Raw Data'!K144),0)</f>
        <v>14715</v>
      </c>
      <c r="L144" s="18">
        <f>IFERROR(ABS('📂 Raw Data'!L144),0)</f>
        <v>462</v>
      </c>
      <c r="M144" s="18">
        <f>IFERROR(ABS('📂 Raw Data'!M144),0)</f>
        <v>2147</v>
      </c>
      <c r="N144" s="18">
        <f t="shared" si="2"/>
        <v>145956</v>
      </c>
      <c r="O144" s="16">
        <f>IFERROR(ABS('📂 Raw Data'!O144),0)</f>
        <v>23</v>
      </c>
      <c r="P144" s="20">
        <f>IFERROR(ABS('📂 Raw Data'!P13),0)</f>
        <v>87</v>
      </c>
      <c r="Q144" s="19" t="str">
        <f>'📂 Raw Data'!Q144</f>
        <v>Average</v>
      </c>
      <c r="R144" s="55" t="str">
        <f>'📂 Raw Data'!R144</f>
        <v>Resigned</v>
      </c>
    </row>
    <row r="145" spans="1:18" ht="18" customHeight="1">
      <c r="A145" s="54" t="str">
        <f>'📂 Raw Data'!A145</f>
        <v>EMP1143</v>
      </c>
      <c r="B145" s="16" t="str">
        <f>PROPER(TRIM('📂 Raw Data'!B145))</f>
        <v>Isha Thakur</v>
      </c>
      <c r="C145" s="16">
        <f>'📂 Raw Data'!C145</f>
        <v>49</v>
      </c>
      <c r="D145" s="16" t="str">
        <f>IF(OR('📂 Raw Data'!D145="M",'📂 Raw Data'!D145="m"),"Male",IF(OR('📂 Raw Data'!D145="F",'📂 Raw Data'!D145="f"),"Female",PROPER('📂 Raw Data'!D145)))</f>
        <v>Male</v>
      </c>
      <c r="E145" s="17" t="str">
        <f>UPPER(TRIM('📂 Raw Data'!E145))</f>
        <v>SALES</v>
      </c>
      <c r="F145" s="16" t="str">
        <f>PROPER(TRIM('📂 Raw Data'!F145))</f>
        <v>Sales Manager</v>
      </c>
      <c r="G145" s="16" t="str">
        <f>IFERROR(IF(ISNUMBER('📂 Raw Data'!G145),TEXT('📂 Raw Data'!G145,"DD-MMM-YYYY"),TEXT(DATEVALUE('📂 Raw Data'!G145),"DD-MMM-YYYY")),"Invalid Date")</f>
        <v>17-Nov-2017</v>
      </c>
      <c r="H145" s="16" t="str">
        <f>PROPER(TRIM('📂 Raw Data'!H145))</f>
        <v>Hyderabad</v>
      </c>
      <c r="I145" s="18">
        <f>IFERROR(IF(ISNUMBER('📂 Raw Data'!I145),ABS('📂 Raw Data'!I145),0),0)</f>
        <v>53972</v>
      </c>
      <c r="J145" s="18">
        <f>IFERROR(ABS('📂 Raw Data'!J145),0)</f>
        <v>20656</v>
      </c>
      <c r="K145" s="18">
        <f>IFERROR(ABS('📂 Raw Data'!K145),0)</f>
        <v>6508</v>
      </c>
      <c r="L145" s="18">
        <f>IFERROR(ABS('📂 Raw Data'!L145),0)</f>
        <v>499</v>
      </c>
      <c r="M145" s="18">
        <f>IFERROR(ABS('📂 Raw Data'!M145),0)</f>
        <v>5560</v>
      </c>
      <c r="N145" s="18">
        <f t="shared" si="2"/>
        <v>87195</v>
      </c>
      <c r="O145" s="16">
        <f>IFERROR(ABS('📂 Raw Data'!O145),0)</f>
        <v>24</v>
      </c>
      <c r="P145" s="20">
        <f>IFERROR(ABS('📂 Raw Data'!P14),0)</f>
        <v>47</v>
      </c>
      <c r="Q145" s="19" t="str">
        <f>'📂 Raw Data'!Q145</f>
        <v>Below Average</v>
      </c>
      <c r="R145" s="55" t="str">
        <f>'📂 Raw Data'!R145</f>
        <v>Active</v>
      </c>
    </row>
    <row r="146" spans="1:18" ht="18" customHeight="1">
      <c r="A146" s="54" t="str">
        <f>'📂 Raw Data'!A146</f>
        <v>EMP1144</v>
      </c>
      <c r="B146" s="16" t="str">
        <f>PROPER(TRIM('📂 Raw Data'!B146))</f>
        <v>Riya Rastogi</v>
      </c>
      <c r="C146" s="16">
        <f>'📂 Raw Data'!C146</f>
        <v>41</v>
      </c>
      <c r="D146" s="16" t="str">
        <f>IF(OR('📂 Raw Data'!D146="M",'📂 Raw Data'!D146="m"),"Male",IF(OR('📂 Raw Data'!D146="F",'📂 Raw Data'!D146="f"),"Female",PROPER('📂 Raw Data'!D146)))</f>
        <v>Male</v>
      </c>
      <c r="E146" s="17" t="str">
        <f>UPPER(TRIM('📂 Raw Data'!E146))</f>
        <v>MARKETING</v>
      </c>
      <c r="F146" s="16" t="str">
        <f>PROPER(TRIM('📂 Raw Data'!F146))</f>
        <v>Seo Specialist</v>
      </c>
      <c r="G146" s="16" t="str">
        <f>IFERROR(IF(ISNUMBER('📂 Raw Data'!G146),TEXT('📂 Raw Data'!G146,"DD-MMM-YYYY"),TEXT(DATEVALUE('📂 Raw Data'!G146),"DD-MMM-YYYY")),"Invalid Date")</f>
        <v>05-Jul-2021</v>
      </c>
      <c r="H146" s="16" t="str">
        <f>PROPER(TRIM('📂 Raw Data'!H146))</f>
        <v>Kolkata</v>
      </c>
      <c r="I146" s="18">
        <f>IFERROR(IF(ISNUMBER('📂 Raw Data'!I146),ABS('📂 Raw Data'!I146),0),0)</f>
        <v>64306</v>
      </c>
      <c r="J146" s="18">
        <f>IFERROR(ABS('📂 Raw Data'!J146),0)</f>
        <v>24134</v>
      </c>
      <c r="K146" s="18">
        <f>IFERROR(ABS('📂 Raw Data'!K146),0)</f>
        <v>14360</v>
      </c>
      <c r="L146" s="18">
        <f>IFERROR(ABS('📂 Raw Data'!L146),0)</f>
        <v>4406</v>
      </c>
      <c r="M146" s="18">
        <f>IFERROR(ABS('📂 Raw Data'!M146),0)</f>
        <v>4879</v>
      </c>
      <c r="N146" s="18">
        <f t="shared" si="2"/>
        <v>112085</v>
      </c>
      <c r="O146" s="16">
        <f>IFERROR(ABS('📂 Raw Data'!O146),0)</f>
        <v>18</v>
      </c>
      <c r="P146" s="20">
        <f>IFERROR(ABS('📂 Raw Data'!P15),0)</f>
        <v>81</v>
      </c>
      <c r="Q146" s="19" t="str">
        <f>'📂 Raw Data'!Q146</f>
        <v>Below Average</v>
      </c>
      <c r="R146" s="55" t="str">
        <f>'📂 Raw Data'!R146</f>
        <v>On Leave</v>
      </c>
    </row>
    <row r="147" spans="1:18" ht="18" customHeight="1">
      <c r="A147" s="54" t="str">
        <f>'📂 Raw Data'!A147</f>
        <v>EMP1145</v>
      </c>
      <c r="B147" s="16" t="str">
        <f>PROPER(TRIM('📂 Raw Data'!B147))</f>
        <v>Chirag Fernandez</v>
      </c>
      <c r="C147" s="16">
        <f>'📂 Raw Data'!C147</f>
        <v>45</v>
      </c>
      <c r="D147" s="16" t="str">
        <f>IF(OR('📂 Raw Data'!D147="M",'📂 Raw Data'!D147="m"),"Male",IF(OR('📂 Raw Data'!D147="F",'📂 Raw Data'!D147="f"),"Female",PROPER('📂 Raw Data'!D147)))</f>
        <v>Female</v>
      </c>
      <c r="E147" s="17" t="str">
        <f>UPPER(TRIM('📂 Raw Data'!E147))</f>
        <v>ENGINEERING</v>
      </c>
      <c r="F147" s="16" t="str">
        <f>PROPER(TRIM('📂 Raw Data'!F147))</f>
        <v>Qa Engineer</v>
      </c>
      <c r="G147" s="16" t="str">
        <f>IFERROR(IF(ISNUMBER('📂 Raw Data'!G147),TEXT('📂 Raw Data'!G147,"DD-MMM-YYYY"),TEXT(DATEVALUE('📂 Raw Data'!G147),"DD-MMM-YYYY")),"Invalid Date")</f>
        <v>17-Sep-2021</v>
      </c>
      <c r="H147" s="16" t="str">
        <f>PROPER(TRIM('📂 Raw Data'!H147))</f>
        <v>Mumbai</v>
      </c>
      <c r="I147" s="18">
        <f>IFERROR(IF(ISNUMBER('📂 Raw Data'!I147),ABS('📂 Raw Data'!I147),0),0)</f>
        <v>42575</v>
      </c>
      <c r="J147" s="18">
        <f>IFERROR(ABS('📂 Raw Data'!J147),0)</f>
        <v>16080</v>
      </c>
      <c r="K147" s="18">
        <f>IFERROR(ABS('📂 Raw Data'!K147),0)</f>
        <v>6177</v>
      </c>
      <c r="L147" s="18">
        <f>IFERROR(ABS('📂 Raw Data'!L147),0)</f>
        <v>1665</v>
      </c>
      <c r="M147" s="18">
        <f>IFERROR(ABS('📂 Raw Data'!M147),0)</f>
        <v>3705</v>
      </c>
      <c r="N147" s="18">
        <f t="shared" si="2"/>
        <v>70202</v>
      </c>
      <c r="O147" s="16">
        <f>IFERROR(ABS('📂 Raw Data'!O147),0)</f>
        <v>25</v>
      </c>
      <c r="P147" s="20">
        <f>IFERROR(ABS('📂 Raw Data'!P16),0)</f>
        <v>63</v>
      </c>
      <c r="Q147" s="19" t="str">
        <f>'📂 Raw Data'!Q147</f>
        <v>Excellent</v>
      </c>
      <c r="R147" s="55" t="str">
        <f>'📂 Raw Data'!R147</f>
        <v>Resigned</v>
      </c>
    </row>
    <row r="148" spans="1:18" ht="18" customHeight="1">
      <c r="A148" s="54" t="str">
        <f>'📂 Raw Data'!A148</f>
        <v>EMP1146</v>
      </c>
      <c r="B148" s="16" t="str">
        <f>PROPER(TRIM('📂 Raw Data'!B148))</f>
        <v>Qasim Xavier</v>
      </c>
      <c r="C148" s="16">
        <f>'📂 Raw Data'!C148</f>
        <v>41</v>
      </c>
      <c r="D148" s="16" t="str">
        <f>IF(OR('📂 Raw Data'!D148="M",'📂 Raw Data'!D148="m"),"Male",IF(OR('📂 Raw Data'!D148="F",'📂 Raw Data'!D148="f"),"Female",PROPER('📂 Raw Data'!D148)))</f>
        <v>Female</v>
      </c>
      <c r="E148" s="17" t="str">
        <f>UPPER(TRIM('📂 Raw Data'!E148))</f>
        <v>HR</v>
      </c>
      <c r="F148" s="16" t="str">
        <f>PROPER(TRIM('📂 Raw Data'!F148))</f>
        <v>Training Coordinator</v>
      </c>
      <c r="G148" s="16" t="str">
        <f>IFERROR(IF(ISNUMBER('📂 Raw Data'!G148),TEXT('📂 Raw Data'!G148,"DD-MMM-YYYY"),TEXT(DATEVALUE('📂 Raw Data'!G148),"DD-MMM-YYYY")),"Invalid Date")</f>
        <v>07-Feb-2015</v>
      </c>
      <c r="H148" s="16" t="str">
        <f>PROPER(TRIM('📂 Raw Data'!H148))</f>
        <v>Mumbai</v>
      </c>
      <c r="I148" s="18">
        <f>IFERROR(IF(ISNUMBER('📂 Raw Data'!I148),ABS('📂 Raw Data'!I148),0),0)</f>
        <v>102015</v>
      </c>
      <c r="J148" s="18">
        <f>IFERROR(ABS('📂 Raw Data'!J148),0)</f>
        <v>45382</v>
      </c>
      <c r="K148" s="18">
        <f>IFERROR(ABS('📂 Raw Data'!K148),0)</f>
        <v>11156</v>
      </c>
      <c r="L148" s="18">
        <f>IFERROR(ABS('📂 Raw Data'!L148),0)</f>
        <v>1777</v>
      </c>
      <c r="M148" s="18">
        <f>IFERROR(ABS('📂 Raw Data'!M148),0)</f>
        <v>4927</v>
      </c>
      <c r="N148" s="18">
        <f t="shared" si="2"/>
        <v>165257</v>
      </c>
      <c r="O148" s="16">
        <f>IFERROR(ABS('📂 Raw Data'!O148),0)</f>
        <v>18</v>
      </c>
      <c r="P148" s="20">
        <f>IFERROR(ABS('📂 Raw Data'!P17),0)</f>
        <v>87</v>
      </c>
      <c r="Q148" s="19" t="str">
        <f>'📂 Raw Data'!Q148</f>
        <v>Excellent</v>
      </c>
      <c r="R148" s="55" t="str">
        <f>'📂 Raw Data'!R148</f>
        <v>Active</v>
      </c>
    </row>
    <row r="149" spans="1:18" ht="18" customHeight="1">
      <c r="A149" s="54" t="str">
        <f>'📂 Raw Data'!A149</f>
        <v>EMP1147</v>
      </c>
      <c r="B149" s="16" t="str">
        <f>PROPER(TRIM('📂 Raw Data'!B149))</f>
        <v>Tarun Dubey</v>
      </c>
      <c r="C149" s="16">
        <f>'📂 Raw Data'!C149</f>
        <v>44</v>
      </c>
      <c r="D149" s="16" t="str">
        <f>IF(OR('📂 Raw Data'!D149="M",'📂 Raw Data'!D149="m"),"Male",IF(OR('📂 Raw Data'!D149="F",'📂 Raw Data'!D149="f"),"Female",PROPER('📂 Raw Data'!D149)))</f>
        <v>Female</v>
      </c>
      <c r="E149" s="17" t="str">
        <f>UPPER(TRIM('📂 Raw Data'!E149))</f>
        <v>OPERATIONS</v>
      </c>
      <c r="F149" s="16" t="str">
        <f>PROPER(TRIM('📂 Raw Data'!F149))</f>
        <v>Coordinator</v>
      </c>
      <c r="G149" s="16" t="str">
        <f>IFERROR(IF(ISNUMBER('📂 Raw Data'!G149),TEXT('📂 Raw Data'!G149,"DD-MMM-YYYY"),TEXT(DATEVALUE('📂 Raw Data'!G149),"DD-MMM-YYYY")),"Invalid Date")</f>
        <v>20-Dec-2018</v>
      </c>
      <c r="H149" s="16" t="str">
        <f>PROPER(TRIM('📂 Raw Data'!H149))</f>
        <v>Bangalore</v>
      </c>
      <c r="I149" s="18">
        <f>IFERROR(IF(ISNUMBER('📂 Raw Data'!I149),ABS('📂 Raw Data'!I149),0),0)</f>
        <v>117244</v>
      </c>
      <c r="J149" s="18">
        <f>IFERROR(ABS('📂 Raw Data'!J149),0)</f>
        <v>39969</v>
      </c>
      <c r="K149" s="18">
        <f>IFERROR(ABS('📂 Raw Data'!K149),0)</f>
        <v>5921</v>
      </c>
      <c r="L149" s="18">
        <f>IFERROR(ABS('📂 Raw Data'!L149),0)</f>
        <v>4522</v>
      </c>
      <c r="M149" s="18">
        <f>IFERROR(ABS('📂 Raw Data'!M149),0)</f>
        <v>3634</v>
      </c>
      <c r="N149" s="18">
        <f t="shared" si="2"/>
        <v>171290</v>
      </c>
      <c r="O149" s="16">
        <f>IFERROR(ABS('📂 Raw Data'!O149),0)</f>
        <v>19</v>
      </c>
      <c r="P149" s="20">
        <f>IFERROR(ABS('📂 Raw Data'!P18),0)</f>
        <v>40</v>
      </c>
      <c r="Q149" s="19" t="str">
        <f>'📂 Raw Data'!Q149</f>
        <v>Below Average</v>
      </c>
      <c r="R149" s="55" t="str">
        <f>'📂 Raw Data'!R149</f>
        <v>Active</v>
      </c>
    </row>
    <row r="150" spans="1:18" ht="18" customHeight="1">
      <c r="A150" s="54" t="str">
        <f>'📂 Raw Data'!A150</f>
        <v>EMP1148</v>
      </c>
      <c r="B150" s="16" t="str">
        <f>PROPER(TRIM('📂 Raw Data'!B150))</f>
        <v>Kavita Kumar</v>
      </c>
      <c r="C150" s="16">
        <f>'📂 Raw Data'!C150</f>
        <v>38</v>
      </c>
      <c r="D150" s="16" t="str">
        <f>IF(OR('📂 Raw Data'!D150="M",'📂 Raw Data'!D150="m"),"Male",IF(OR('📂 Raw Data'!D150="F",'📂 Raw Data'!D150="f"),"Female",PROPER('📂 Raw Data'!D150)))</f>
        <v>Male</v>
      </c>
      <c r="E150" s="17" t="str">
        <f>UPPER(TRIM('📂 Raw Data'!E150))</f>
        <v>FINANCE</v>
      </c>
      <c r="F150" s="16" t="str">
        <f>PROPER(TRIM('📂 Raw Data'!F150))</f>
        <v>Accountant</v>
      </c>
      <c r="G150" s="16" t="str">
        <f>IFERROR(IF(ISNUMBER('📂 Raw Data'!G150),TEXT('📂 Raw Data'!G150,"DD-MMM-YYYY"),TEXT(DATEVALUE('📂 Raw Data'!G150),"DD-MMM-YYYY")),"Invalid Date")</f>
        <v>07-Jun-2022</v>
      </c>
      <c r="H150" s="16" t="str">
        <f>PROPER(TRIM('📂 Raw Data'!H150))</f>
        <v>Hyderabad</v>
      </c>
      <c r="I150" s="18">
        <f>IFERROR(IF(ISNUMBER('📂 Raw Data'!I150),ABS('📂 Raw Data'!I150),0),0)</f>
        <v>73589</v>
      </c>
      <c r="J150" s="18">
        <f>IFERROR(ABS('📂 Raw Data'!J150),0)</f>
        <v>26682</v>
      </c>
      <c r="K150" s="18">
        <f>IFERROR(ABS('📂 Raw Data'!K150),0)</f>
        <v>2749</v>
      </c>
      <c r="L150" s="18">
        <f>IFERROR(ABS('📂 Raw Data'!L150),0)</f>
        <v>4608</v>
      </c>
      <c r="M150" s="18">
        <f>IFERROR(ABS('📂 Raw Data'!M150),0)</f>
        <v>2812</v>
      </c>
      <c r="N150" s="18">
        <f t="shared" si="2"/>
        <v>110440</v>
      </c>
      <c r="O150" s="16">
        <f>IFERROR(ABS('📂 Raw Data'!O150),0)</f>
        <v>26</v>
      </c>
      <c r="P150" s="20">
        <f>IFERROR(ABS('📂 Raw Data'!P19),0)</f>
        <v>42</v>
      </c>
      <c r="Q150" s="19" t="str">
        <f>'📂 Raw Data'!Q150</f>
        <v>Below Average</v>
      </c>
      <c r="R150" s="55" t="str">
        <f>'📂 Raw Data'!R150</f>
        <v>Resigned</v>
      </c>
    </row>
    <row r="151" spans="1:18" ht="18" customHeight="1">
      <c r="A151" s="54" t="str">
        <f>'📂 Raw Data'!A151</f>
        <v>EMP1149</v>
      </c>
      <c r="B151" s="16" t="str">
        <f>PROPER(TRIM('📂 Raw Data'!B151))</f>
        <v>Chirag Mehta</v>
      </c>
      <c r="C151" s="16">
        <f>'📂 Raw Data'!C151</f>
        <v>38</v>
      </c>
      <c r="D151" s="16" t="str">
        <f>IF(OR('📂 Raw Data'!D151="M",'📂 Raw Data'!D151="m"),"Male",IF(OR('📂 Raw Data'!D151="F",'📂 Raw Data'!D151="f"),"Female",PROPER('📂 Raw Data'!D151)))</f>
        <v>Female</v>
      </c>
      <c r="E151" s="17" t="str">
        <f>UPPER(TRIM('📂 Raw Data'!E151))</f>
        <v>HR</v>
      </c>
      <c r="F151" s="16" t="str">
        <f>PROPER(TRIM('📂 Raw Data'!F151))</f>
        <v>Hr Manager</v>
      </c>
      <c r="G151" s="16" t="str">
        <f>IFERROR(IF(ISNUMBER('📂 Raw Data'!G151),TEXT('📂 Raw Data'!G151,"DD-MMM-YYYY"),TEXT(DATEVALUE('📂 Raw Data'!G151),"DD-MMM-YYYY")),"Invalid Date")</f>
        <v>08-Jun-2018</v>
      </c>
      <c r="H151" s="16" t="str">
        <f>PROPER(TRIM('📂 Raw Data'!H151))</f>
        <v>Kolkata</v>
      </c>
      <c r="I151" s="18">
        <f>IFERROR(IF(ISNUMBER('📂 Raw Data'!I151),ABS('📂 Raw Data'!I151),0),0)</f>
        <v>74786</v>
      </c>
      <c r="J151" s="18">
        <f>IFERROR(ABS('📂 Raw Data'!J151),0)</f>
        <v>30958</v>
      </c>
      <c r="K151" s="18">
        <f>IFERROR(ABS('📂 Raw Data'!K151),0)</f>
        <v>6026</v>
      </c>
      <c r="L151" s="18">
        <f>IFERROR(ABS('📂 Raw Data'!L151),0)</f>
        <v>4090</v>
      </c>
      <c r="M151" s="18">
        <f>IFERROR(ABS('📂 Raw Data'!M151),0)</f>
        <v>5510</v>
      </c>
      <c r="N151" s="18">
        <f t="shared" si="2"/>
        <v>121370</v>
      </c>
      <c r="O151" s="16">
        <f>IFERROR(ABS('📂 Raw Data'!O151),0)</f>
        <v>25</v>
      </c>
      <c r="P151" s="20">
        <f>IFERROR(ABS('📂 Raw Data'!P20),0)</f>
        <v>87</v>
      </c>
      <c r="Q151" s="19" t="str">
        <f>'📂 Raw Data'!Q151</f>
        <v>Below Average</v>
      </c>
      <c r="R151" s="55" t="str">
        <f>'📂 Raw Data'!R151</f>
        <v>Active</v>
      </c>
    </row>
    <row r="152" spans="1:18" ht="18" customHeight="1">
      <c r="A152" s="54" t="str">
        <f>'📂 Raw Data'!A152</f>
        <v>EMP1150</v>
      </c>
      <c r="B152" s="16" t="str">
        <f>PROPER(TRIM('📂 Raw Data'!B152))</f>
        <v>Isha Das</v>
      </c>
      <c r="C152" s="16">
        <f>'📂 Raw Data'!C152</f>
        <v>26</v>
      </c>
      <c r="D152" s="16" t="str">
        <f>IF(OR('📂 Raw Data'!D152="M",'📂 Raw Data'!D152="m"),"Male",IF(OR('📂 Raw Data'!D152="F",'📂 Raw Data'!D152="f"),"Female",PROPER('📂 Raw Data'!D152)))</f>
        <v>Male</v>
      </c>
      <c r="E152" s="17" t="str">
        <f>UPPER(TRIM('📂 Raw Data'!E152))</f>
        <v>FINANCE</v>
      </c>
      <c r="F152" s="16" t="str">
        <f>PROPER(TRIM('📂 Raw Data'!F152))</f>
        <v>Senior Accountant</v>
      </c>
      <c r="G152" s="16" t="str">
        <f>IFERROR(IF(ISNUMBER('📂 Raw Data'!G152),TEXT('📂 Raw Data'!G152,"DD-MMM-YYYY"),TEXT(DATEVALUE('📂 Raw Data'!G152),"DD-MMM-YYYY")),"Invalid Date")</f>
        <v>05-Mar-2020</v>
      </c>
      <c r="H152" s="16" t="str">
        <f>PROPER(TRIM('📂 Raw Data'!H152))</f>
        <v>Kolkata</v>
      </c>
      <c r="I152" s="18">
        <f>IFERROR(IF(ISNUMBER('📂 Raw Data'!I152),ABS('📂 Raw Data'!I152),0),0)</f>
        <v>119412</v>
      </c>
      <c r="J152" s="18">
        <f>IFERROR(ABS('📂 Raw Data'!J152),0)</f>
        <v>48876</v>
      </c>
      <c r="K152" s="18">
        <f>IFERROR(ABS('📂 Raw Data'!K152),0)</f>
        <v>5015</v>
      </c>
      <c r="L152" s="18">
        <f>IFERROR(ABS('📂 Raw Data'!L152),0)</f>
        <v>7511</v>
      </c>
      <c r="M152" s="18">
        <f>IFERROR(ABS('📂 Raw Data'!M152),0)</f>
        <v>5441</v>
      </c>
      <c r="N152" s="18">
        <f t="shared" si="2"/>
        <v>186255</v>
      </c>
      <c r="O152" s="16">
        <f>IFERROR(ABS('📂 Raw Data'!O152),0)</f>
        <v>25</v>
      </c>
      <c r="P152" s="20">
        <f>IFERROR(ABS('📂 Raw Data'!P21),0)</f>
        <v>50</v>
      </c>
      <c r="Q152" s="19" t="str">
        <f>'📂 Raw Data'!Q152</f>
        <v>Excellent</v>
      </c>
      <c r="R152" s="55" t="str">
        <f>'📂 Raw Data'!R152</f>
        <v>On Leave</v>
      </c>
    </row>
    <row r="153" spans="1:18" ht="18" customHeight="1">
      <c r="A153" s="54" t="str">
        <f>'📂 Raw Data'!A153</f>
        <v>EMP1151</v>
      </c>
      <c r="B153" s="16" t="str">
        <f>PROPER(TRIM('📂 Raw Data'!B153))</f>
        <v>Om Chawla</v>
      </c>
      <c r="C153" s="16">
        <f>'📂 Raw Data'!C153</f>
        <v>53</v>
      </c>
      <c r="D153" s="16" t="str">
        <f>IF(OR('📂 Raw Data'!D153="M",'📂 Raw Data'!D153="m"),"Male",IF(OR('📂 Raw Data'!D153="F",'📂 Raw Data'!D153="f"),"Female",PROPER('📂 Raw Data'!D153)))</f>
        <v>Female</v>
      </c>
      <c r="E153" s="17" t="str">
        <f>UPPER(TRIM('📂 Raw Data'!E153))</f>
        <v>FINANCE</v>
      </c>
      <c r="F153" s="16" t="str">
        <f>PROPER(TRIM('📂 Raw Data'!F153))</f>
        <v>Senior Accountant</v>
      </c>
      <c r="G153" s="16" t="str">
        <f>IFERROR(IF(ISNUMBER('📂 Raw Data'!G153),TEXT('📂 Raw Data'!G153,"DD-MMM-YYYY"),TEXT(DATEVALUE('📂 Raw Data'!G153),"DD-MMM-YYYY")),"Invalid Date")</f>
        <v>23-Feb-2018</v>
      </c>
      <c r="H153" s="16" t="str">
        <f>PROPER(TRIM('📂 Raw Data'!H153))</f>
        <v>Mumbai</v>
      </c>
      <c r="I153" s="18">
        <f>IFERROR(IF(ISNUMBER('📂 Raw Data'!I153),ABS('📂 Raw Data'!I153),0),0)</f>
        <v>0</v>
      </c>
      <c r="J153" s="18">
        <f>IFERROR(ABS('📂 Raw Data'!J153),0)</f>
        <v>13520</v>
      </c>
      <c r="K153" s="18">
        <f>IFERROR(ABS('📂 Raw Data'!K153),0)</f>
        <v>10285</v>
      </c>
      <c r="L153" s="18">
        <f>IFERROR(ABS('📂 Raw Data'!L153),0)</f>
        <v>3735</v>
      </c>
      <c r="M153" s="18">
        <f>IFERROR(ABS('📂 Raw Data'!M153),0)</f>
        <v>4057</v>
      </c>
      <c r="N153" s="18">
        <f t="shared" si="2"/>
        <v>31597</v>
      </c>
      <c r="O153" s="16">
        <f>IFERROR(ABS('📂 Raw Data'!O153),0)</f>
        <v>15</v>
      </c>
      <c r="P153" s="20">
        <f>IFERROR(ABS('📂 Raw Data'!P22),0)</f>
        <v>57</v>
      </c>
      <c r="Q153" s="19" t="str">
        <f>'📂 Raw Data'!Q153</f>
        <v>Below Average</v>
      </c>
      <c r="R153" s="55" t="str">
        <f>'📂 Raw Data'!R153</f>
        <v>Active</v>
      </c>
    </row>
    <row r="154" spans="1:18" ht="18" customHeight="1">
      <c r="A154" s="54" t="str">
        <f>'📂 Raw Data'!A154</f>
        <v>EMP1152</v>
      </c>
      <c r="B154" s="16" t="str">
        <f>PROPER(TRIM('📂 Raw Data'!B154))</f>
        <v>Jay Bose</v>
      </c>
      <c r="C154" s="16">
        <f>'📂 Raw Data'!C154</f>
        <v>33</v>
      </c>
      <c r="D154" s="16" t="str">
        <f>IF(OR('📂 Raw Data'!D154="M",'📂 Raw Data'!D154="m"),"Male",IF(OR('📂 Raw Data'!D154="F",'📂 Raw Data'!D154="f"),"Female",PROPER('📂 Raw Data'!D154)))</f>
        <v>Female</v>
      </c>
      <c r="E154" s="17" t="str">
        <f>UPPER(TRIM('📂 Raw Data'!E154))</f>
        <v>ENGINEERING</v>
      </c>
      <c r="F154" s="16" t="str">
        <f>PROPER(TRIM('📂 Raw Data'!F154))</f>
        <v>Software Engineer</v>
      </c>
      <c r="G154" s="16" t="str">
        <f>IFERROR(IF(ISNUMBER('📂 Raw Data'!G154),TEXT('📂 Raw Data'!G154,"DD-MMM-YYYY"),TEXT(DATEVALUE('📂 Raw Data'!G154),"DD-MMM-YYYY")),"Invalid Date")</f>
        <v>09-Dec-2023</v>
      </c>
      <c r="H154" s="16" t="str">
        <f>PROPER(TRIM('📂 Raw Data'!H154))</f>
        <v>Mumbai</v>
      </c>
      <c r="I154" s="18">
        <f>IFERROR(IF(ISNUMBER('📂 Raw Data'!I154),ABS('📂 Raw Data'!I154),0),0)</f>
        <v>95220</v>
      </c>
      <c r="J154" s="18">
        <f>IFERROR(ABS('📂 Raw Data'!J154),0)</f>
        <v>47181</v>
      </c>
      <c r="K154" s="18">
        <f>IFERROR(ABS('📂 Raw Data'!K154),0)</f>
        <v>2280</v>
      </c>
      <c r="L154" s="18">
        <f>IFERROR(ABS('📂 Raw Data'!L154),0)</f>
        <v>4114</v>
      </c>
      <c r="M154" s="18">
        <f>IFERROR(ABS('📂 Raw Data'!M154),0)</f>
        <v>7661</v>
      </c>
      <c r="N154" s="18">
        <f t="shared" si="2"/>
        <v>156456</v>
      </c>
      <c r="O154" s="16">
        <f>IFERROR(ABS('📂 Raw Data'!O154),0)</f>
        <v>26</v>
      </c>
      <c r="P154" s="20">
        <f>IFERROR(ABS('📂 Raw Data'!P23),0)</f>
        <v>67</v>
      </c>
      <c r="Q154" s="19" t="str">
        <f>'📂 Raw Data'!Q154</f>
        <v>Good</v>
      </c>
      <c r="R154" s="55" t="str">
        <f>'📂 Raw Data'!R154</f>
        <v>Active</v>
      </c>
    </row>
    <row r="155" spans="1:18" ht="18" customHeight="1">
      <c r="A155" s="54" t="str">
        <f>'📂 Raw Data'!A155</f>
        <v>EMP1153</v>
      </c>
      <c r="B155" s="16" t="str">
        <f>PROPER(TRIM('📂 Raw Data'!B155))</f>
        <v>Bina Mehta</v>
      </c>
      <c r="C155" s="16">
        <f>'📂 Raw Data'!C155</f>
        <v>41</v>
      </c>
      <c r="D155" s="16" t="str">
        <f>IF(OR('📂 Raw Data'!D155="M",'📂 Raw Data'!D155="m"),"Male",IF(OR('📂 Raw Data'!D155="F",'📂 Raw Data'!D155="f"),"Female",PROPER('📂 Raw Data'!D155)))</f>
        <v>Male</v>
      </c>
      <c r="E155" s="17" t="str">
        <f>UPPER(TRIM('📂 Raw Data'!E155))</f>
        <v>SALES</v>
      </c>
      <c r="F155" s="16" t="str">
        <f>PROPER(TRIM('📂 Raw Data'!F155))</f>
        <v>Sales Manager</v>
      </c>
      <c r="G155" s="16" t="str">
        <f>IFERROR(IF(ISNUMBER('📂 Raw Data'!G155),TEXT('📂 Raw Data'!G155,"DD-MMM-YYYY"),TEXT(DATEVALUE('📂 Raw Data'!G155),"DD-MMM-YYYY")),"Invalid Date")</f>
        <v>26-May-2020</v>
      </c>
      <c r="H155" s="16" t="str">
        <f>PROPER(TRIM('📂 Raw Data'!H155))</f>
        <v>Pune</v>
      </c>
      <c r="I155" s="18">
        <f>IFERROR(IF(ISNUMBER('📂 Raw Data'!I155),ABS('📂 Raw Data'!I155),0),0)</f>
        <v>77022</v>
      </c>
      <c r="J155" s="18">
        <f>IFERROR(ABS('📂 Raw Data'!J155),0)</f>
        <v>24324</v>
      </c>
      <c r="K155" s="18">
        <f>IFERROR(ABS('📂 Raw Data'!K155),0)</f>
        <v>8652</v>
      </c>
      <c r="L155" s="18">
        <f>IFERROR(ABS('📂 Raw Data'!L155),0)</f>
        <v>3760</v>
      </c>
      <c r="M155" s="18">
        <f>IFERROR(ABS('📂 Raw Data'!M155),0)</f>
        <v>5628</v>
      </c>
      <c r="N155" s="18">
        <f t="shared" si="2"/>
        <v>119386</v>
      </c>
      <c r="O155" s="16">
        <f>IFERROR(ABS('📂 Raw Data'!O155),0)</f>
        <v>18</v>
      </c>
      <c r="P155" s="20">
        <f>IFERROR(ABS('📂 Raw Data'!P24),0)</f>
        <v>87</v>
      </c>
      <c r="Q155" s="19" t="str">
        <f>'📂 Raw Data'!Q155</f>
        <v>Excellent</v>
      </c>
      <c r="R155" s="55" t="str">
        <f>'📂 Raw Data'!R155</f>
        <v>Active</v>
      </c>
    </row>
    <row r="156" spans="1:18" ht="18" customHeight="1">
      <c r="A156" s="54" t="str">
        <f>'📂 Raw Data'!A156</f>
        <v>EMP1154</v>
      </c>
      <c r="B156" s="16" t="str">
        <f>PROPER(TRIM('📂 Raw Data'!B156))</f>
        <v>Jay Malhotra</v>
      </c>
      <c r="C156" s="16">
        <f>'📂 Raw Data'!C156</f>
        <v>43</v>
      </c>
      <c r="D156" s="16" t="str">
        <f>IF(OR('📂 Raw Data'!D156="M",'📂 Raw Data'!D156="m"),"Male",IF(OR('📂 Raw Data'!D156="F",'📂 Raw Data'!D156="f"),"Female",PROPER('📂 Raw Data'!D156)))</f>
        <v>Female</v>
      </c>
      <c r="E156" s="17" t="str">
        <f>UPPER(TRIM('📂 Raw Data'!E156))</f>
        <v>ENGINEERING</v>
      </c>
      <c r="F156" s="16" t="str">
        <f>PROPER(TRIM('📂 Raw Data'!F156))</f>
        <v>Qa Engineer</v>
      </c>
      <c r="G156" s="16" t="str">
        <f>IFERROR(IF(ISNUMBER('📂 Raw Data'!G156),TEXT('📂 Raw Data'!G156,"DD-MMM-YYYY"),TEXT(DATEVALUE('📂 Raw Data'!G156),"DD-MMM-YYYY")),"Invalid Date")</f>
        <v>18-Jul-2021</v>
      </c>
      <c r="H156" s="16" t="str">
        <f>PROPER(TRIM('📂 Raw Data'!H156))</f>
        <v>Hyderabad</v>
      </c>
      <c r="I156" s="18">
        <f>IFERROR(IF(ISNUMBER('📂 Raw Data'!I156),ABS('📂 Raw Data'!I156),0),0)</f>
        <v>87390</v>
      </c>
      <c r="J156" s="18">
        <f>IFERROR(ABS('📂 Raw Data'!J156),0)</f>
        <v>27198</v>
      </c>
      <c r="K156" s="18">
        <f>IFERROR(ABS('📂 Raw Data'!K156),0)</f>
        <v>2154</v>
      </c>
      <c r="L156" s="18">
        <f>IFERROR(ABS('📂 Raw Data'!L156),0)</f>
        <v>5757</v>
      </c>
      <c r="M156" s="18">
        <f>IFERROR(ABS('📂 Raw Data'!M156),0)</f>
        <v>2403</v>
      </c>
      <c r="N156" s="18">
        <f t="shared" si="2"/>
        <v>124902</v>
      </c>
      <c r="O156" s="16">
        <f>IFERROR(ABS('📂 Raw Data'!O156),0)</f>
        <v>16</v>
      </c>
      <c r="P156" s="20">
        <f>IFERROR(ABS('📂 Raw Data'!P25),0)</f>
        <v>48</v>
      </c>
      <c r="Q156" s="19" t="str">
        <f>'📂 Raw Data'!Q156</f>
        <v>Good</v>
      </c>
      <c r="R156" s="55" t="str">
        <f>'📂 Raw Data'!R156</f>
        <v>Active</v>
      </c>
    </row>
    <row r="157" spans="1:18" ht="18" customHeight="1">
      <c r="A157" s="54" t="str">
        <f>'📂 Raw Data'!A157</f>
        <v>EMP1155</v>
      </c>
      <c r="B157" s="16" t="str">
        <f>PROPER(TRIM('📂 Raw Data'!B157))</f>
        <v>Riya Das</v>
      </c>
      <c r="C157" s="16">
        <f>'📂 Raw Data'!C157</f>
        <v>23</v>
      </c>
      <c r="D157" s="16" t="str">
        <f>IF(OR('📂 Raw Data'!D157="M",'📂 Raw Data'!D157="m"),"Male",IF(OR('📂 Raw Data'!D157="F",'📂 Raw Data'!D157="f"),"Female",PROPER('📂 Raw Data'!D157)))</f>
        <v>Female</v>
      </c>
      <c r="E157" s="17" t="str">
        <f>UPPER(TRIM('📂 Raw Data'!E157))</f>
        <v>SALES</v>
      </c>
      <c r="F157" s="16" t="str">
        <f>PROPER(TRIM('📂 Raw Data'!F157))</f>
        <v>Business Dev</v>
      </c>
      <c r="G157" s="16" t="str">
        <f>IFERROR(IF(ISNUMBER('📂 Raw Data'!G157),TEXT('📂 Raw Data'!G157,"DD-MMM-YYYY"),TEXT(DATEVALUE('📂 Raw Data'!G157),"DD-MMM-YYYY")),"Invalid Date")</f>
        <v>03-Jan-2019</v>
      </c>
      <c r="H157" s="16" t="str">
        <f>PROPER(TRIM('📂 Raw Data'!H157))</f>
        <v>Delhi</v>
      </c>
      <c r="I157" s="18">
        <f>IFERROR(IF(ISNUMBER('📂 Raw Data'!I157),ABS('📂 Raw Data'!I157),0),0)</f>
        <v>114709</v>
      </c>
      <c r="J157" s="18">
        <f>IFERROR(ABS('📂 Raw Data'!J157),0)</f>
        <v>55647</v>
      </c>
      <c r="K157" s="18">
        <f>IFERROR(ABS('📂 Raw Data'!K157),0)</f>
        <v>10897</v>
      </c>
      <c r="L157" s="18">
        <f>IFERROR(ABS('📂 Raw Data'!L157),0)</f>
        <v>4616</v>
      </c>
      <c r="M157" s="18">
        <f>IFERROR(ABS('📂 Raw Data'!M157),0)</f>
        <v>6391</v>
      </c>
      <c r="N157" s="18">
        <f t="shared" si="2"/>
        <v>192260</v>
      </c>
      <c r="O157" s="16">
        <f>IFERROR(ABS('📂 Raw Data'!O157),0)</f>
        <v>15</v>
      </c>
      <c r="P157" s="20">
        <f>IFERROR(ABS('📂 Raw Data'!P26),0)</f>
        <v>78</v>
      </c>
      <c r="Q157" s="19" t="str">
        <f>'📂 Raw Data'!Q157</f>
        <v>Below Average</v>
      </c>
      <c r="R157" s="55" t="str">
        <f>'📂 Raw Data'!R157</f>
        <v>Resigned</v>
      </c>
    </row>
    <row r="158" spans="1:18" ht="18" customHeight="1">
      <c r="A158" s="54" t="str">
        <f>'📂 Raw Data'!A158</f>
        <v>EMP1156</v>
      </c>
      <c r="B158" s="16" t="str">
        <f>PROPER(TRIM('📂 Raw Data'!B158))</f>
        <v>Rohit Khanna</v>
      </c>
      <c r="C158" s="16">
        <f>'📂 Raw Data'!C158</f>
        <v>27</v>
      </c>
      <c r="D158" s="16" t="str">
        <f>IF(OR('📂 Raw Data'!D158="M",'📂 Raw Data'!D158="m"),"Male",IF(OR('📂 Raw Data'!D158="F",'📂 Raw Data'!D158="f"),"Female",PROPER('📂 Raw Data'!D158)))</f>
        <v>Male</v>
      </c>
      <c r="E158" s="17" t="str">
        <f>UPPER(TRIM('📂 Raw Data'!E158))</f>
        <v>ENGINEERING</v>
      </c>
      <c r="F158" s="16" t="str">
        <f>PROPER(TRIM('📂 Raw Data'!F158))</f>
        <v>Tech Lead</v>
      </c>
      <c r="G158" s="16" t="str">
        <f>IFERROR(IF(ISNUMBER('📂 Raw Data'!G158),TEXT('📂 Raw Data'!G158,"DD-MMM-YYYY"),TEXT(DATEVALUE('📂 Raw Data'!G158),"DD-MMM-YYYY")),"Invalid Date")</f>
        <v>08-Oct-2017</v>
      </c>
      <c r="H158" s="16" t="str">
        <f>PROPER(TRIM('📂 Raw Data'!H158))</f>
        <v>Hyderabad</v>
      </c>
      <c r="I158" s="18">
        <f>IFERROR(IF(ISNUMBER('📂 Raw Data'!I158),ABS('📂 Raw Data'!I158),0),0)</f>
        <v>99277</v>
      </c>
      <c r="J158" s="18">
        <f>IFERROR(ABS('📂 Raw Data'!J158),0)</f>
        <v>46355</v>
      </c>
      <c r="K158" s="18">
        <f>IFERROR(ABS('📂 Raw Data'!K158),0)</f>
        <v>8375</v>
      </c>
      <c r="L158" s="18">
        <f>IFERROR(ABS('📂 Raw Data'!L158),0)</f>
        <v>5546</v>
      </c>
      <c r="M158" s="18">
        <f>IFERROR(ABS('📂 Raw Data'!M158),0)</f>
        <v>5428</v>
      </c>
      <c r="N158" s="18">
        <f t="shared" si="2"/>
        <v>164981</v>
      </c>
      <c r="O158" s="16">
        <f>IFERROR(ABS('📂 Raw Data'!O158),0)</f>
        <v>20</v>
      </c>
      <c r="P158" s="20">
        <f>IFERROR(ABS('📂 Raw Data'!P27),0)</f>
        <v>83</v>
      </c>
      <c r="Q158" s="19" t="str">
        <f>'📂 Raw Data'!Q158</f>
        <v>Excellent</v>
      </c>
      <c r="R158" s="55" t="str">
        <f>'📂 Raw Data'!R158</f>
        <v>On Leave</v>
      </c>
    </row>
    <row r="159" spans="1:18" ht="18" customHeight="1">
      <c r="A159" s="54" t="str">
        <f>'📂 Raw Data'!A159</f>
        <v>EMP1157</v>
      </c>
      <c r="B159" s="16" t="str">
        <f>PROPER(TRIM('📂 Raw Data'!B159))</f>
        <v>Rohit Chawla</v>
      </c>
      <c r="C159" s="16">
        <f>'📂 Raw Data'!C159</f>
        <v>50</v>
      </c>
      <c r="D159" s="16" t="str">
        <f>IF(OR('📂 Raw Data'!D159="M",'📂 Raw Data'!D159="m"),"Male",IF(OR('📂 Raw Data'!D159="F",'📂 Raw Data'!D159="f"),"Female",PROPER('📂 Raw Data'!D159)))</f>
        <v>Female</v>
      </c>
      <c r="E159" s="17" t="str">
        <f>UPPER(TRIM('📂 Raw Data'!E159))</f>
        <v>FINANCE</v>
      </c>
      <c r="F159" s="16" t="str">
        <f>PROPER(TRIM('📂 Raw Data'!F159))</f>
        <v>Senior Accountant</v>
      </c>
      <c r="G159" s="16" t="str">
        <f>IFERROR(IF(ISNUMBER('📂 Raw Data'!G159),TEXT('📂 Raw Data'!G159,"DD-MMM-YYYY"),TEXT(DATEVALUE('📂 Raw Data'!G159),"DD-MMM-YYYY")),"Invalid Date")</f>
        <v>20-Jun-2016</v>
      </c>
      <c r="H159" s="16" t="str">
        <f>PROPER(TRIM('📂 Raw Data'!H159))</f>
        <v>Chennai</v>
      </c>
      <c r="I159" s="18">
        <f>IFERROR(IF(ISNUMBER('📂 Raw Data'!I159),ABS('📂 Raw Data'!I159),0),0)</f>
        <v>105460</v>
      </c>
      <c r="J159" s="18">
        <f>IFERROR(ABS('📂 Raw Data'!J159),0)</f>
        <v>51778</v>
      </c>
      <c r="K159" s="18">
        <f>IFERROR(ABS('📂 Raw Data'!K159),0)</f>
        <v>8499</v>
      </c>
      <c r="L159" s="18">
        <f>IFERROR(ABS('📂 Raw Data'!L159),0)</f>
        <v>7937</v>
      </c>
      <c r="M159" s="18">
        <f>IFERROR(ABS('📂 Raw Data'!M159),0)</f>
        <v>7336</v>
      </c>
      <c r="N159" s="18">
        <f t="shared" si="2"/>
        <v>181010</v>
      </c>
      <c r="O159" s="16">
        <f>IFERROR(ABS('📂 Raw Data'!O159),0)</f>
        <v>20</v>
      </c>
      <c r="P159" s="20">
        <f>IFERROR(ABS('📂 Raw Data'!P28),0)</f>
        <v>65</v>
      </c>
      <c r="Q159" s="19" t="str">
        <f>'📂 Raw Data'!Q159</f>
        <v>Below Average</v>
      </c>
      <c r="R159" s="55" t="str">
        <f>'📂 Raw Data'!R159</f>
        <v>Active</v>
      </c>
    </row>
    <row r="160" spans="1:18" ht="18" customHeight="1">
      <c r="A160" s="54" t="str">
        <f>'📂 Raw Data'!A160</f>
        <v>EMP1158</v>
      </c>
      <c r="B160" s="16" t="str">
        <f>PROPER(TRIM('📂 Raw Data'!B160))</f>
        <v>Riya Xavier</v>
      </c>
      <c r="C160" s="16">
        <f>'📂 Raw Data'!C160</f>
        <v>46</v>
      </c>
      <c r="D160" s="16" t="str">
        <f>IF(OR('📂 Raw Data'!D160="M",'📂 Raw Data'!D160="m"),"Male",IF(OR('📂 Raw Data'!D160="F",'📂 Raw Data'!D160="f"),"Female",PROPER('📂 Raw Data'!D160)))</f>
        <v>Male</v>
      </c>
      <c r="E160" s="17" t="str">
        <f>UPPER(TRIM('📂 Raw Data'!E160))</f>
        <v>FINANCE</v>
      </c>
      <c r="F160" s="16" t="str">
        <f>PROPER(TRIM('📂 Raw Data'!F160))</f>
        <v>Senior Accountant</v>
      </c>
      <c r="G160" s="16" t="str">
        <f>IFERROR(IF(ISNUMBER('📂 Raw Data'!G160),TEXT('📂 Raw Data'!G160,"DD-MMM-YYYY"),TEXT(DATEVALUE('📂 Raw Data'!G160),"DD-MMM-YYYY")),"Invalid Date")</f>
        <v>25-Feb-2021</v>
      </c>
      <c r="H160" s="16" t="str">
        <f>PROPER(TRIM('📂 Raw Data'!H160))</f>
        <v>Pune</v>
      </c>
      <c r="I160" s="18">
        <f>IFERROR(IF(ISNUMBER('📂 Raw Data'!I160),ABS('📂 Raw Data'!I160),0),0)</f>
        <v>106083</v>
      </c>
      <c r="J160" s="18">
        <f>IFERROR(ABS('📂 Raw Data'!J160),0)</f>
        <v>38092</v>
      </c>
      <c r="K160" s="18">
        <f>IFERROR(ABS('📂 Raw Data'!K160),0)</f>
        <v>6037</v>
      </c>
      <c r="L160" s="18">
        <f>IFERROR(ABS('📂 Raw Data'!L160),0)</f>
        <v>5841</v>
      </c>
      <c r="M160" s="18">
        <f>IFERROR(ABS('📂 Raw Data'!M160),0)</f>
        <v>1602</v>
      </c>
      <c r="N160" s="18">
        <f t="shared" si="2"/>
        <v>157655</v>
      </c>
      <c r="O160" s="16">
        <f>IFERROR(ABS('📂 Raw Data'!O160),0)</f>
        <v>16</v>
      </c>
      <c r="P160" s="20">
        <f>IFERROR(ABS('📂 Raw Data'!P29),0)</f>
        <v>69</v>
      </c>
      <c r="Q160" s="19" t="str">
        <f>'📂 Raw Data'!Q160</f>
        <v>Below Average</v>
      </c>
      <c r="R160" s="55" t="str">
        <f>'📂 Raw Data'!R160</f>
        <v>On Leave</v>
      </c>
    </row>
    <row r="161" spans="1:18" ht="18" customHeight="1">
      <c r="A161" s="54" t="str">
        <f>'📂 Raw Data'!A161</f>
        <v>EMP1159</v>
      </c>
      <c r="B161" s="16" t="str">
        <f>PROPER(TRIM('📂 Raw Data'!B161))</f>
        <v>Hina Dubey</v>
      </c>
      <c r="C161" s="16">
        <f>'📂 Raw Data'!C161</f>
        <v>49</v>
      </c>
      <c r="D161" s="16" t="str">
        <f>IF(OR('📂 Raw Data'!D161="M",'📂 Raw Data'!D161="m"),"Male",IF(OR('📂 Raw Data'!D161="F",'📂 Raw Data'!D161="f"),"Female",PROPER('📂 Raw Data'!D161)))</f>
        <v>Male</v>
      </c>
      <c r="E161" s="17" t="str">
        <f>UPPER(TRIM('📂 Raw Data'!E161))</f>
        <v>HR</v>
      </c>
      <c r="F161" s="16" t="str">
        <f>PROPER(TRIM('📂 Raw Data'!F161))</f>
        <v>Recruiter</v>
      </c>
      <c r="G161" s="16" t="str">
        <f>IFERROR(IF(ISNUMBER('📂 Raw Data'!G161),TEXT('📂 Raw Data'!G161,"DD-MMM-YYYY"),TEXT(DATEVALUE('📂 Raw Data'!G161),"DD-MMM-YYYY")),"Invalid Date")</f>
        <v>01-Feb-2016</v>
      </c>
      <c r="H161" s="16" t="str">
        <f>PROPER(TRIM('📂 Raw Data'!H161))</f>
        <v>Chennai</v>
      </c>
      <c r="I161" s="18">
        <f>IFERROR(IF(ISNUMBER('📂 Raw Data'!I161),ABS('📂 Raw Data'!I161),0),0)</f>
        <v>65405</v>
      </c>
      <c r="J161" s="18">
        <f>IFERROR(ABS('📂 Raw Data'!J161),0)</f>
        <v>25439</v>
      </c>
      <c r="K161" s="18">
        <f>IFERROR(ABS('📂 Raw Data'!K161),0)</f>
        <v>14473</v>
      </c>
      <c r="L161" s="18">
        <f>IFERROR(ABS('📂 Raw Data'!L161),0)</f>
        <v>2209</v>
      </c>
      <c r="M161" s="18">
        <f>IFERROR(ABS('📂 Raw Data'!M161),0)</f>
        <v>1837</v>
      </c>
      <c r="N161" s="18">
        <f t="shared" si="2"/>
        <v>109363</v>
      </c>
      <c r="O161" s="16">
        <f>IFERROR(ABS('📂 Raw Data'!O161),0)</f>
        <v>17</v>
      </c>
      <c r="P161" s="20">
        <f>IFERROR(ABS('📂 Raw Data'!P30),0)</f>
        <v>57</v>
      </c>
      <c r="Q161" s="19" t="str">
        <f>'📂 Raw Data'!Q161</f>
        <v>Below Average</v>
      </c>
      <c r="R161" s="55" t="str">
        <f>'📂 Raw Data'!R161</f>
        <v>Resigned</v>
      </c>
    </row>
    <row r="162" spans="1:18" ht="18" customHeight="1">
      <c r="A162" s="54" t="str">
        <f>'📂 Raw Data'!A162</f>
        <v>EMP1160</v>
      </c>
      <c r="B162" s="16" t="str">
        <f>PROPER(TRIM('📂 Raw Data'!B162))</f>
        <v>Chirag Chawla</v>
      </c>
      <c r="C162" s="16">
        <f>'📂 Raw Data'!C162</f>
        <v>46</v>
      </c>
      <c r="D162" s="16" t="str">
        <f>IF(OR('📂 Raw Data'!D162="M",'📂 Raw Data'!D162="m"),"Male",IF(OR('📂 Raw Data'!D162="F",'📂 Raw Data'!D162="f"),"Female",PROPER('📂 Raw Data'!D162)))</f>
        <v>Female</v>
      </c>
      <c r="E162" s="17" t="str">
        <f>UPPER(TRIM('📂 Raw Data'!E162))</f>
        <v>ENGINEERING</v>
      </c>
      <c r="F162" s="16" t="str">
        <f>PROPER(TRIM('📂 Raw Data'!F162))</f>
        <v>Software Engineer</v>
      </c>
      <c r="G162" s="16" t="str">
        <f>IFERROR(IF(ISNUMBER('📂 Raw Data'!G162),TEXT('📂 Raw Data'!G162,"DD-MMM-YYYY"),TEXT(DATEVALUE('📂 Raw Data'!G162),"DD-MMM-YYYY")),"Invalid Date")</f>
        <v>18-Jun-2016</v>
      </c>
      <c r="H162" s="16" t="str">
        <f>PROPER(TRIM('📂 Raw Data'!H162))</f>
        <v>Kolkata</v>
      </c>
      <c r="I162" s="18">
        <f>IFERROR(IF(ISNUMBER('📂 Raw Data'!I162),ABS('📂 Raw Data'!I162),0),0)</f>
        <v>37198</v>
      </c>
      <c r="J162" s="18">
        <f>IFERROR(ABS('📂 Raw Data'!J162),0)</f>
        <v>15600</v>
      </c>
      <c r="K162" s="18">
        <f>IFERROR(ABS('📂 Raw Data'!K162),0)</f>
        <v>14852</v>
      </c>
      <c r="L162" s="18">
        <f>IFERROR(ABS('📂 Raw Data'!L162),0)</f>
        <v>2657</v>
      </c>
      <c r="M162" s="18">
        <f>IFERROR(ABS('📂 Raw Data'!M162),0)</f>
        <v>4155</v>
      </c>
      <c r="N162" s="18">
        <f t="shared" si="2"/>
        <v>74462</v>
      </c>
      <c r="O162" s="16">
        <f>IFERROR(ABS('📂 Raw Data'!O162),0)</f>
        <v>15</v>
      </c>
      <c r="P162" s="20">
        <f>IFERROR(ABS('📂 Raw Data'!P31),0)</f>
        <v>85</v>
      </c>
      <c r="Q162" s="19" t="str">
        <f>'📂 Raw Data'!Q162</f>
        <v>Good</v>
      </c>
      <c r="R162" s="55" t="str">
        <f>'📂 Raw Data'!R162</f>
        <v>Active</v>
      </c>
    </row>
    <row r="163" spans="1:18" ht="18" customHeight="1">
      <c r="A163" s="54" t="str">
        <f>'📂 Raw Data'!A163</f>
        <v>EMP1161</v>
      </c>
      <c r="B163" s="16" t="str">
        <f>PROPER(TRIM('📂 Raw Data'!B163))</f>
        <v>Meera Verma</v>
      </c>
      <c r="C163" s="16">
        <f>'📂 Raw Data'!C163</f>
        <v>48</v>
      </c>
      <c r="D163" s="16" t="str">
        <f>IF(OR('📂 Raw Data'!D163="M",'📂 Raw Data'!D163="m"),"Male",IF(OR('📂 Raw Data'!D163="F",'📂 Raw Data'!D163="f"),"Female",PROPER('📂 Raw Data'!D163)))</f>
        <v>Female</v>
      </c>
      <c r="E163" s="17" t="str">
        <f>UPPER(TRIM('📂 Raw Data'!E163))</f>
        <v>MARKETING</v>
      </c>
      <c r="F163" s="16" t="str">
        <f>PROPER(TRIM('📂 Raw Data'!F163))</f>
        <v>Content Writer</v>
      </c>
      <c r="G163" s="16" t="str">
        <f>IFERROR(IF(ISNUMBER('📂 Raw Data'!G163),TEXT('📂 Raw Data'!G163,"DD-MMM-YYYY"),TEXT(DATEVALUE('📂 Raw Data'!G163),"DD-MMM-YYYY")),"Invalid Date")</f>
        <v>03-Jan-2021</v>
      </c>
      <c r="H163" s="16" t="str">
        <f>PROPER(TRIM('📂 Raw Data'!H163))</f>
        <v>Bangalore</v>
      </c>
      <c r="I163" s="18">
        <f>IFERROR(IF(ISNUMBER('📂 Raw Data'!I163),ABS('📂 Raw Data'!I163),0),0)</f>
        <v>60247</v>
      </c>
      <c r="J163" s="18">
        <f>IFERROR(ABS('📂 Raw Data'!J163),0)</f>
        <v>21703</v>
      </c>
      <c r="K163" s="18">
        <f>IFERROR(ABS('📂 Raw Data'!K163),0)</f>
        <v>10079</v>
      </c>
      <c r="L163" s="18">
        <f>IFERROR(ABS('📂 Raw Data'!L163),0)</f>
        <v>1195</v>
      </c>
      <c r="M163" s="18">
        <f>IFERROR(ABS('📂 Raw Data'!M163),0)</f>
        <v>1518</v>
      </c>
      <c r="N163" s="18">
        <f t="shared" si="2"/>
        <v>94742</v>
      </c>
      <c r="O163" s="16">
        <f>IFERROR(ABS('📂 Raw Data'!O163),0)</f>
        <v>17</v>
      </c>
      <c r="P163" s="20">
        <f>IFERROR(ABS('📂 Raw Data'!P32),0)</f>
        <v>64</v>
      </c>
      <c r="Q163" s="19" t="str">
        <f>'📂 Raw Data'!Q163</f>
        <v>Average</v>
      </c>
      <c r="R163" s="55" t="str">
        <f>'📂 Raw Data'!R163</f>
        <v>Active</v>
      </c>
    </row>
    <row r="164" spans="1:18" ht="18" customHeight="1">
      <c r="A164" s="54" t="str">
        <f>'📂 Raw Data'!A164</f>
        <v>EMP1162</v>
      </c>
      <c r="B164" s="16" t="str">
        <f>PROPER(TRIM('📂 Raw Data'!B164))</f>
        <v>Zara Subramaniam</v>
      </c>
      <c r="C164" s="16">
        <f>'📂 Raw Data'!C164</f>
        <v>43</v>
      </c>
      <c r="D164" s="16" t="str">
        <f>IF(OR('📂 Raw Data'!D164="M",'📂 Raw Data'!D164="m"),"Male",IF(OR('📂 Raw Data'!D164="F",'📂 Raw Data'!D164="f"),"Female",PROPER('📂 Raw Data'!D164)))</f>
        <v>Female</v>
      </c>
      <c r="E164" s="17" t="str">
        <f>UPPER(TRIM('📂 Raw Data'!E164))</f>
        <v>HR</v>
      </c>
      <c r="F164" s="16" t="str">
        <f>PROPER(TRIM('📂 Raw Data'!F164))</f>
        <v>Hr Manager</v>
      </c>
      <c r="G164" s="16" t="str">
        <f>IFERROR(IF(ISNUMBER('📂 Raw Data'!G164),TEXT('📂 Raw Data'!G164,"DD-MMM-YYYY"),TEXT(DATEVALUE('📂 Raw Data'!G164),"DD-MMM-YYYY")),"Invalid Date")</f>
        <v>20-Oct-2022</v>
      </c>
      <c r="H164" s="16" t="str">
        <f>PROPER(TRIM('📂 Raw Data'!H164))</f>
        <v>Chennai</v>
      </c>
      <c r="I164" s="18">
        <f>IFERROR(IF(ISNUMBER('📂 Raw Data'!I164),ABS('📂 Raw Data'!I164),0),0)</f>
        <v>50630</v>
      </c>
      <c r="J164" s="18">
        <f>IFERROR(ABS('📂 Raw Data'!J164),0)</f>
        <v>19825</v>
      </c>
      <c r="K164" s="18">
        <f>IFERROR(ABS('📂 Raw Data'!K164),0)</f>
        <v>4219</v>
      </c>
      <c r="L164" s="18">
        <f>IFERROR(ABS('📂 Raw Data'!L164),0)</f>
        <v>2495</v>
      </c>
      <c r="M164" s="18">
        <f>IFERROR(ABS('📂 Raw Data'!M164),0)</f>
        <v>1055</v>
      </c>
      <c r="N164" s="18">
        <f t="shared" si="2"/>
        <v>78224</v>
      </c>
      <c r="O164" s="16">
        <f>IFERROR(ABS('📂 Raw Data'!O164),0)</f>
        <v>21</v>
      </c>
      <c r="P164" s="20">
        <f>IFERROR(ABS('📂 Raw Data'!P33),0)</f>
        <v>91</v>
      </c>
      <c r="Q164" s="19" t="str">
        <f>'📂 Raw Data'!Q164</f>
        <v>Poor</v>
      </c>
      <c r="R164" s="55" t="str">
        <f>'📂 Raw Data'!R164</f>
        <v>Active</v>
      </c>
    </row>
    <row r="165" spans="1:18" ht="18" customHeight="1">
      <c r="A165" s="54" t="str">
        <f>'📂 Raw Data'!A165</f>
        <v>EMP1163</v>
      </c>
      <c r="B165" s="16" t="str">
        <f>PROPER(TRIM('📂 Raw Data'!B165))</f>
        <v>Shreya Subramaniam</v>
      </c>
      <c r="C165" s="16">
        <f>'📂 Raw Data'!C165</f>
        <v>37</v>
      </c>
      <c r="D165" s="16" t="str">
        <f>IF(OR('📂 Raw Data'!D165="M",'📂 Raw Data'!D165="m"),"Male",IF(OR('📂 Raw Data'!D165="F",'📂 Raw Data'!D165="f"),"Female",PROPER('📂 Raw Data'!D165)))</f>
        <v>Female</v>
      </c>
      <c r="E165" s="17" t="str">
        <f>UPPER(TRIM('📂 Raw Data'!E165))</f>
        <v>SALES</v>
      </c>
      <c r="F165" s="16" t="str">
        <f>PROPER(TRIM('📂 Raw Data'!F165))</f>
        <v>Sales Manager</v>
      </c>
      <c r="G165" s="16" t="str">
        <f>IFERROR(IF(ISNUMBER('📂 Raw Data'!G165),TEXT('📂 Raw Data'!G165,"DD-MMM-YYYY"),TEXT(DATEVALUE('📂 Raw Data'!G165),"DD-MMM-YYYY")),"Invalid Date")</f>
        <v>23-Oct-2020</v>
      </c>
      <c r="H165" s="16" t="str">
        <f>PROPER(TRIM('📂 Raw Data'!H165))</f>
        <v>Bangalore</v>
      </c>
      <c r="I165" s="18">
        <f>IFERROR(IF(ISNUMBER('📂 Raw Data'!I165),ABS('📂 Raw Data'!I165),0),0)</f>
        <v>51326</v>
      </c>
      <c r="J165" s="18">
        <f>IFERROR(ABS('📂 Raw Data'!J165),0)</f>
        <v>20315</v>
      </c>
      <c r="K165" s="18">
        <f>IFERROR(ABS('📂 Raw Data'!K165),0)</f>
        <v>4910</v>
      </c>
      <c r="L165" s="18">
        <f>IFERROR(ABS('📂 Raw Data'!L165),0)</f>
        <v>7901</v>
      </c>
      <c r="M165" s="18">
        <f>IFERROR(ABS('📂 Raw Data'!M165),0)</f>
        <v>4262</v>
      </c>
      <c r="N165" s="18">
        <f t="shared" si="2"/>
        <v>88714</v>
      </c>
      <c r="O165" s="16">
        <f>IFERROR(ABS('📂 Raw Data'!O165),0)</f>
        <v>20</v>
      </c>
      <c r="P165" s="20">
        <f>IFERROR(ABS('📂 Raw Data'!P34),0)</f>
        <v>64</v>
      </c>
      <c r="Q165" s="19" t="str">
        <f>'📂 Raw Data'!Q165</f>
        <v>Below Average</v>
      </c>
      <c r="R165" s="55" t="str">
        <f>'📂 Raw Data'!R165</f>
        <v>Active</v>
      </c>
    </row>
    <row r="166" spans="1:18" ht="18" customHeight="1">
      <c r="A166" s="54" t="str">
        <f>'📂 Raw Data'!A166</f>
        <v>EMP1164</v>
      </c>
      <c r="B166" s="16" t="str">
        <f>PROPER(TRIM('📂 Raw Data'!B166))</f>
        <v>Aditi Upadhyay</v>
      </c>
      <c r="C166" s="16">
        <f>'📂 Raw Data'!C166</f>
        <v>50</v>
      </c>
      <c r="D166" s="16" t="str">
        <f>IF(OR('📂 Raw Data'!D166="M",'📂 Raw Data'!D166="m"),"Male",IF(OR('📂 Raw Data'!D166="F",'📂 Raw Data'!D166="f"),"Female",PROPER('📂 Raw Data'!D166)))</f>
        <v>Male</v>
      </c>
      <c r="E166" s="17" t="str">
        <f>UPPER(TRIM('📂 Raw Data'!E166))</f>
        <v>HR</v>
      </c>
      <c r="F166" s="16" t="str">
        <f>PROPER(TRIM('📂 Raw Data'!F166))</f>
        <v>Hr Executive</v>
      </c>
      <c r="G166" s="16" t="str">
        <f>IFERROR(IF(ISNUMBER('📂 Raw Data'!G166),TEXT('📂 Raw Data'!G166,"DD-MMM-YYYY"),TEXT(DATEVALUE('📂 Raw Data'!G166),"DD-MMM-YYYY")),"Invalid Date")</f>
        <v>18-Oct-2018</v>
      </c>
      <c r="H166" s="16" t="str">
        <f>PROPER(TRIM('📂 Raw Data'!H166))</f>
        <v>Kolkata</v>
      </c>
      <c r="I166" s="18">
        <f>IFERROR(IF(ISNUMBER('📂 Raw Data'!I166),ABS('📂 Raw Data'!I166),0),0)</f>
        <v>48583</v>
      </c>
      <c r="J166" s="18">
        <f>IFERROR(ABS('📂 Raw Data'!J166),0)</f>
        <v>21199</v>
      </c>
      <c r="K166" s="18">
        <f>IFERROR(ABS('📂 Raw Data'!K166),0)</f>
        <v>11012</v>
      </c>
      <c r="L166" s="18">
        <f>IFERROR(ABS('📂 Raw Data'!L166),0)</f>
        <v>220</v>
      </c>
      <c r="M166" s="18">
        <f>IFERROR(ABS('📂 Raw Data'!M166),0)</f>
        <v>6957</v>
      </c>
      <c r="N166" s="18">
        <f t="shared" si="2"/>
        <v>87971</v>
      </c>
      <c r="O166" s="16">
        <f>IFERROR(ABS('📂 Raw Data'!O166),0)</f>
        <v>22</v>
      </c>
      <c r="P166" s="20">
        <f>IFERROR(ABS('📂 Raw Data'!P35),0)</f>
        <v>81</v>
      </c>
      <c r="Q166" s="19" t="str">
        <f>'📂 Raw Data'!Q166</f>
        <v>Excellent</v>
      </c>
      <c r="R166" s="55" t="str">
        <f>'📂 Raw Data'!R166</f>
        <v>Active</v>
      </c>
    </row>
    <row r="167" spans="1:18" ht="18" customHeight="1">
      <c r="A167" s="54" t="str">
        <f>'📂 Raw Data'!A167</f>
        <v>EMP1165</v>
      </c>
      <c r="B167" s="16" t="str">
        <f>PROPER(TRIM('📂 Raw Data'!B167))</f>
        <v>Om Dubey</v>
      </c>
      <c r="C167" s="16">
        <f>'📂 Raw Data'!C167</f>
        <v>52</v>
      </c>
      <c r="D167" s="16" t="str">
        <f>IF(OR('📂 Raw Data'!D167="M",'📂 Raw Data'!D167="m"),"Male",IF(OR('📂 Raw Data'!D167="F",'📂 Raw Data'!D167="f"),"Female",PROPER('📂 Raw Data'!D167)))</f>
        <v>Female</v>
      </c>
      <c r="E167" s="17" t="str">
        <f>UPPER(TRIM('📂 Raw Data'!E167))</f>
        <v>FINANCE</v>
      </c>
      <c r="F167" s="16" t="str">
        <f>PROPER(TRIM('📂 Raw Data'!F167))</f>
        <v>Auditor</v>
      </c>
      <c r="G167" s="16" t="str">
        <f>IFERROR(IF(ISNUMBER('📂 Raw Data'!G167),TEXT('📂 Raw Data'!G167,"DD-MMM-YYYY"),TEXT(DATEVALUE('📂 Raw Data'!G167),"DD-MMM-YYYY")),"Invalid Date")</f>
        <v>10-Nov-2017</v>
      </c>
      <c r="H167" s="16" t="str">
        <f>PROPER(TRIM('📂 Raw Data'!H167))</f>
        <v>Hyderabad</v>
      </c>
      <c r="I167" s="18">
        <f>IFERROR(IF(ISNUMBER('📂 Raw Data'!I167),ABS('📂 Raw Data'!I167),0),0)</f>
        <v>56722</v>
      </c>
      <c r="J167" s="18">
        <f>IFERROR(ABS('📂 Raw Data'!J167),0)</f>
        <v>19883</v>
      </c>
      <c r="K167" s="18">
        <f>IFERROR(ABS('📂 Raw Data'!K167),0)</f>
        <v>4525</v>
      </c>
      <c r="L167" s="18">
        <f>IFERROR(ABS('📂 Raw Data'!L167),0)</f>
        <v>5859</v>
      </c>
      <c r="M167" s="18">
        <f>IFERROR(ABS('📂 Raw Data'!M167),0)</f>
        <v>4466</v>
      </c>
      <c r="N167" s="18">
        <f t="shared" si="2"/>
        <v>91455</v>
      </c>
      <c r="O167" s="16">
        <f>IFERROR(ABS('📂 Raw Data'!O167),0)</f>
        <v>21</v>
      </c>
      <c r="P167" s="20">
        <f>IFERROR(ABS('📂 Raw Data'!P36),0)</f>
        <v>89</v>
      </c>
      <c r="Q167" s="19" t="str">
        <f>'📂 Raw Data'!Q167</f>
        <v>Below Average</v>
      </c>
      <c r="R167" s="55" t="str">
        <f>'📂 Raw Data'!R167</f>
        <v>Active</v>
      </c>
    </row>
    <row r="168" spans="1:18" ht="18" customHeight="1">
      <c r="A168" s="54" t="str">
        <f>'📂 Raw Data'!A168</f>
        <v>EMP1166</v>
      </c>
      <c r="B168" s="16" t="str">
        <f>PROPER(TRIM('📂 Raw Data'!B168))</f>
        <v>Zeba Hassan</v>
      </c>
      <c r="C168" s="16">
        <f>'📂 Raw Data'!C168</f>
        <v>32</v>
      </c>
      <c r="D168" s="16" t="str">
        <f>IF(OR('📂 Raw Data'!D168="M",'📂 Raw Data'!D168="m"),"Male",IF(OR('📂 Raw Data'!D168="F",'📂 Raw Data'!D168="f"),"Female",PROPER('📂 Raw Data'!D168)))</f>
        <v>Female</v>
      </c>
      <c r="E168" s="17" t="str">
        <f>UPPER(TRIM('📂 Raw Data'!E168))</f>
        <v>MARKETING</v>
      </c>
      <c r="F168" s="16" t="str">
        <f>PROPER(TRIM('📂 Raw Data'!F168))</f>
        <v>Marketing Executive</v>
      </c>
      <c r="G168" s="16" t="str">
        <f>IFERROR(IF(ISNUMBER('📂 Raw Data'!G168),TEXT('📂 Raw Data'!G168,"DD-MMM-YYYY"),TEXT(DATEVALUE('📂 Raw Data'!G168),"DD-MMM-YYYY")),"Invalid Date")</f>
        <v>26-Dec-2020</v>
      </c>
      <c r="H168" s="16" t="str">
        <f>PROPER(TRIM('📂 Raw Data'!H168))</f>
        <v>Pune</v>
      </c>
      <c r="I168" s="18">
        <f>IFERROR(IF(ISNUMBER('📂 Raw Data'!I168),ABS('📂 Raw Data'!I168),0),0)</f>
        <v>95373</v>
      </c>
      <c r="J168" s="18">
        <f>IFERROR(ABS('📂 Raw Data'!J168),0)</f>
        <v>39939</v>
      </c>
      <c r="K168" s="18">
        <f>IFERROR(ABS('📂 Raw Data'!K168),0)</f>
        <v>3392</v>
      </c>
      <c r="L168" s="18">
        <f>IFERROR(ABS('📂 Raw Data'!L168),0)</f>
        <v>895</v>
      </c>
      <c r="M168" s="18">
        <f>IFERROR(ABS('📂 Raw Data'!M168),0)</f>
        <v>7299</v>
      </c>
      <c r="N168" s="18">
        <f t="shared" si="2"/>
        <v>146898</v>
      </c>
      <c r="O168" s="16">
        <f>IFERROR(ABS('📂 Raw Data'!O168),0)</f>
        <v>18</v>
      </c>
      <c r="P168" s="20">
        <f>IFERROR(ABS('📂 Raw Data'!P37),0)</f>
        <v>44</v>
      </c>
      <c r="Q168" s="19" t="str">
        <f>'📂 Raw Data'!Q168</f>
        <v>Below Average</v>
      </c>
      <c r="R168" s="55" t="str">
        <f>'📂 Raw Data'!R168</f>
        <v>Resigned</v>
      </c>
    </row>
    <row r="169" spans="1:18" ht="18" customHeight="1">
      <c r="A169" s="54" t="str">
        <f>'📂 Raw Data'!A169</f>
        <v>EMP1167</v>
      </c>
      <c r="B169" s="16" t="str">
        <f>PROPER(TRIM('📂 Raw Data'!B169))</f>
        <v>Rahul Ojha</v>
      </c>
      <c r="C169" s="16">
        <f>'📂 Raw Data'!C169</f>
        <v>50</v>
      </c>
      <c r="D169" s="16" t="str">
        <f>IF(OR('📂 Raw Data'!D169="M",'📂 Raw Data'!D169="m"),"Male",IF(OR('📂 Raw Data'!D169="F",'📂 Raw Data'!D169="f"),"Female",PROPER('📂 Raw Data'!D169)))</f>
        <v>Male</v>
      </c>
      <c r="E169" s="17" t="str">
        <f>UPPER(TRIM('📂 Raw Data'!E169))</f>
        <v>HR</v>
      </c>
      <c r="F169" s="16" t="str">
        <f>PROPER(TRIM('📂 Raw Data'!F169))</f>
        <v>Training Coordinator</v>
      </c>
      <c r="G169" s="16" t="str">
        <f>IFERROR(IF(ISNUMBER('📂 Raw Data'!G169),TEXT('📂 Raw Data'!G169,"DD-MMM-YYYY"),TEXT(DATEVALUE('📂 Raw Data'!G169),"DD-MMM-YYYY")),"Invalid Date")</f>
        <v>04-Jan-2016</v>
      </c>
      <c r="H169" s="16" t="str">
        <f>PROPER(TRIM('📂 Raw Data'!H169))</f>
        <v>Bangalore</v>
      </c>
      <c r="I169" s="18">
        <f>IFERROR(IF(ISNUMBER('📂 Raw Data'!I169),ABS('📂 Raw Data'!I169),0),0)</f>
        <v>58913</v>
      </c>
      <c r="J169" s="18">
        <f>IFERROR(ABS('📂 Raw Data'!J169),0)</f>
        <v>20290</v>
      </c>
      <c r="K169" s="18">
        <f>IFERROR(ABS('📂 Raw Data'!K169),0)</f>
        <v>14236</v>
      </c>
      <c r="L169" s="18">
        <f>IFERROR(ABS('📂 Raw Data'!L169),0)</f>
        <v>4249</v>
      </c>
      <c r="M169" s="18">
        <f>IFERROR(ABS('📂 Raw Data'!M169),0)</f>
        <v>5571</v>
      </c>
      <c r="N169" s="18">
        <f t="shared" si="2"/>
        <v>103259</v>
      </c>
      <c r="O169" s="16">
        <f>IFERROR(ABS('📂 Raw Data'!O169),0)</f>
        <v>24</v>
      </c>
      <c r="P169" s="20">
        <f>IFERROR(ABS('📂 Raw Data'!P38),0)</f>
        <v>94</v>
      </c>
      <c r="Q169" s="19" t="str">
        <f>'📂 Raw Data'!Q169</f>
        <v>Poor</v>
      </c>
      <c r="R169" s="55" t="str">
        <f>'📂 Raw Data'!R169</f>
        <v>Active</v>
      </c>
    </row>
    <row r="170" spans="1:18" ht="18" customHeight="1">
      <c r="A170" s="54" t="str">
        <f>'📂 Raw Data'!A170</f>
        <v>EMP1168</v>
      </c>
      <c r="B170" s="16" t="str">
        <f>PROPER(TRIM('📂 Raw Data'!B170))</f>
        <v>Meera Qadir</v>
      </c>
      <c r="C170" s="16">
        <f>'📂 Raw Data'!C170</f>
        <v>41</v>
      </c>
      <c r="D170" s="16" t="str">
        <f>IF(OR('📂 Raw Data'!D170="M",'📂 Raw Data'!D170="m"),"Male",IF(OR('📂 Raw Data'!D170="F",'📂 Raw Data'!D170="f"),"Female",PROPER('📂 Raw Data'!D170)))</f>
        <v>Female</v>
      </c>
      <c r="E170" s="17" t="str">
        <f>UPPER(TRIM('📂 Raw Data'!E170))</f>
        <v>OPERATIONS</v>
      </c>
      <c r="F170" s="16" t="str">
        <f>PROPER(TRIM('📂 Raw Data'!F170))</f>
        <v>Logistics Manager</v>
      </c>
      <c r="G170" s="16" t="str">
        <f>IFERROR(IF(ISNUMBER('📂 Raw Data'!G170),TEXT('📂 Raw Data'!G170,"DD-MMM-YYYY"),TEXT(DATEVALUE('📂 Raw Data'!G170),"DD-MMM-YYYY")),"Invalid Date")</f>
        <v>16-Jan-2020</v>
      </c>
      <c r="H170" s="16" t="str">
        <f>PROPER(TRIM('📂 Raw Data'!H170))</f>
        <v>Bangalore</v>
      </c>
      <c r="I170" s="18">
        <f>IFERROR(IF(ISNUMBER('📂 Raw Data'!I170),ABS('📂 Raw Data'!I170),0),0)</f>
        <v>38703</v>
      </c>
      <c r="J170" s="18">
        <f>IFERROR(ABS('📂 Raw Data'!J170),0)</f>
        <v>13898</v>
      </c>
      <c r="K170" s="18">
        <f>IFERROR(ABS('📂 Raw Data'!K170),0)</f>
        <v>3406</v>
      </c>
      <c r="L170" s="18">
        <f>IFERROR(ABS('📂 Raw Data'!L170),0)</f>
        <v>950</v>
      </c>
      <c r="M170" s="18">
        <f>IFERROR(ABS('📂 Raw Data'!M170),0)</f>
        <v>7810</v>
      </c>
      <c r="N170" s="18">
        <f t="shared" si="2"/>
        <v>64767</v>
      </c>
      <c r="O170" s="16">
        <f>IFERROR(ABS('📂 Raw Data'!O170),0)</f>
        <v>26</v>
      </c>
      <c r="P170" s="20">
        <f>IFERROR(ABS('📂 Raw Data'!P39),0)</f>
        <v>89</v>
      </c>
      <c r="Q170" s="19" t="str">
        <f>'📂 Raw Data'!Q170</f>
        <v>Poor</v>
      </c>
      <c r="R170" s="55" t="str">
        <f>'📂 Raw Data'!R170</f>
        <v>Active</v>
      </c>
    </row>
    <row r="171" spans="1:18" ht="18" customHeight="1">
      <c r="A171" s="54" t="str">
        <f>'📂 Raw Data'!A171</f>
        <v>EMP1169</v>
      </c>
      <c r="B171" s="16" t="str">
        <f>PROPER(TRIM('📂 Raw Data'!B171))</f>
        <v>Bina Chopra</v>
      </c>
      <c r="C171" s="16">
        <f>'📂 Raw Data'!C171</f>
        <v>23</v>
      </c>
      <c r="D171" s="16" t="str">
        <f>IF(OR('📂 Raw Data'!D171="M",'📂 Raw Data'!D171="m"),"Male",IF(OR('📂 Raw Data'!D171="F",'📂 Raw Data'!D171="f"),"Female",PROPER('📂 Raw Data'!D171)))</f>
        <v>Male</v>
      </c>
      <c r="E171" s="17" t="str">
        <f>UPPER(TRIM('📂 Raw Data'!E171))</f>
        <v>FINANCE</v>
      </c>
      <c r="F171" s="16" t="str">
        <f>PROPER(TRIM('📂 Raw Data'!F171))</f>
        <v>Finance Manager</v>
      </c>
      <c r="G171" s="16" t="str">
        <f>IFERROR(IF(ISNUMBER('📂 Raw Data'!G171),TEXT('📂 Raw Data'!G171,"DD-MMM-YYYY"),TEXT(DATEVALUE('📂 Raw Data'!G171),"DD-MMM-YYYY")),"Invalid Date")</f>
        <v>15-Feb-2022</v>
      </c>
      <c r="H171" s="16" t="str">
        <f>PROPER(TRIM('📂 Raw Data'!H171))</f>
        <v>Kolkata</v>
      </c>
      <c r="I171" s="18">
        <f>IFERROR(IF(ISNUMBER('📂 Raw Data'!I171),ABS('📂 Raw Data'!I171),0),0)</f>
        <v>119633</v>
      </c>
      <c r="J171" s="18">
        <f>IFERROR(ABS('📂 Raw Data'!J171),0)</f>
        <v>52561</v>
      </c>
      <c r="K171" s="18">
        <f>IFERROR(ABS('📂 Raw Data'!K171),0)</f>
        <v>7225</v>
      </c>
      <c r="L171" s="18">
        <f>IFERROR(ABS('📂 Raw Data'!L171),0)</f>
        <v>550</v>
      </c>
      <c r="M171" s="18">
        <f>IFERROR(ABS('📂 Raw Data'!M171),0)</f>
        <v>3459</v>
      </c>
      <c r="N171" s="18">
        <f t="shared" si="2"/>
        <v>183428</v>
      </c>
      <c r="O171" s="16">
        <f>IFERROR(ABS('📂 Raw Data'!O171),0)</f>
        <v>15</v>
      </c>
      <c r="P171" s="20">
        <f>IFERROR(ABS('📂 Raw Data'!P40),0)</f>
        <v>71</v>
      </c>
      <c r="Q171" s="19" t="str">
        <f>'📂 Raw Data'!Q171</f>
        <v>Good</v>
      </c>
      <c r="R171" s="55" t="str">
        <f>'📂 Raw Data'!R171</f>
        <v>Active</v>
      </c>
    </row>
    <row r="172" spans="1:18" ht="18" customHeight="1">
      <c r="A172" s="54" t="str">
        <f>'📂 Raw Data'!A172</f>
        <v>EMP1170</v>
      </c>
      <c r="B172" s="16" t="str">
        <f>PROPER(TRIM('📂 Raw Data'!B172))</f>
        <v>Manish Islam</v>
      </c>
      <c r="C172" s="16">
        <f>'📂 Raw Data'!C172</f>
        <v>33</v>
      </c>
      <c r="D172" s="16" t="str">
        <f>IF(OR('📂 Raw Data'!D172="M",'📂 Raw Data'!D172="m"),"Male",IF(OR('📂 Raw Data'!D172="F",'📂 Raw Data'!D172="f"),"Female",PROPER('📂 Raw Data'!D172)))</f>
        <v>Female</v>
      </c>
      <c r="E172" s="17" t="str">
        <f>UPPER(TRIM('📂 Raw Data'!E172))</f>
        <v>OPERATIONS</v>
      </c>
      <c r="F172" s="16" t="str">
        <f>PROPER(TRIM('📂 Raw Data'!F172))</f>
        <v>Logistics Manager</v>
      </c>
      <c r="G172" s="16" t="str">
        <f>IFERROR(IF(ISNUMBER('📂 Raw Data'!G172),TEXT('📂 Raw Data'!G172,"DD-MMM-YYYY"),TEXT(DATEVALUE('📂 Raw Data'!G172),"DD-MMM-YYYY")),"Invalid Date")</f>
        <v>18-Mar-2023</v>
      </c>
      <c r="H172" s="16" t="str">
        <f>PROPER(TRIM('📂 Raw Data'!H172))</f>
        <v>Delhi</v>
      </c>
      <c r="I172" s="18">
        <f>IFERROR(IF(ISNUMBER('📂 Raw Data'!I172),ABS('📂 Raw Data'!I172),0),0)</f>
        <v>45989</v>
      </c>
      <c r="J172" s="18">
        <f>IFERROR(ABS('📂 Raw Data'!J172),0)</f>
        <v>16841</v>
      </c>
      <c r="K172" s="18">
        <f>IFERROR(ABS('📂 Raw Data'!K172),0)</f>
        <v>8985</v>
      </c>
      <c r="L172" s="18">
        <f>IFERROR(ABS('📂 Raw Data'!L172),0)</f>
        <v>7851</v>
      </c>
      <c r="M172" s="18">
        <f>IFERROR(ABS('📂 Raw Data'!M172),0)</f>
        <v>4785</v>
      </c>
      <c r="N172" s="18">
        <f t="shared" si="2"/>
        <v>84451</v>
      </c>
      <c r="O172" s="16">
        <f>IFERROR(ABS('📂 Raw Data'!O172),0)</f>
        <v>18</v>
      </c>
      <c r="P172" s="20">
        <f>IFERROR(ABS('📂 Raw Data'!P41),0)</f>
        <v>71</v>
      </c>
      <c r="Q172" s="19" t="str">
        <f>'📂 Raw Data'!Q172</f>
        <v>Below Average</v>
      </c>
      <c r="R172" s="55" t="str">
        <f>'📂 Raw Data'!R172</f>
        <v>On Leave</v>
      </c>
    </row>
    <row r="173" spans="1:18" ht="18" customHeight="1">
      <c r="A173" s="54" t="str">
        <f>'📂 Raw Data'!A173</f>
        <v>EMP1171</v>
      </c>
      <c r="B173" s="16" t="str">
        <f>PROPER(TRIM('📂 Raw Data'!B173))</f>
        <v>Inder Doshi</v>
      </c>
      <c r="C173" s="16">
        <f>'📂 Raw Data'!C173</f>
        <v>28</v>
      </c>
      <c r="D173" s="16" t="str">
        <f>IF(OR('📂 Raw Data'!D173="M",'📂 Raw Data'!D173="m"),"Male",IF(OR('📂 Raw Data'!D173="F",'📂 Raw Data'!D173="f"),"Female",PROPER('📂 Raw Data'!D173)))</f>
        <v>Male</v>
      </c>
      <c r="E173" s="17" t="str">
        <f>UPPER(TRIM('📂 Raw Data'!E173))</f>
        <v>ENGINEERING</v>
      </c>
      <c r="F173" s="16" t="str">
        <f>PROPER(TRIM('📂 Raw Data'!F173))</f>
        <v>Senior Engineer</v>
      </c>
      <c r="G173" s="16" t="str">
        <f>IFERROR(IF(ISNUMBER('📂 Raw Data'!G173),TEXT('📂 Raw Data'!G173,"DD-MMM-YYYY"),TEXT(DATEVALUE('📂 Raw Data'!G173),"DD-MMM-YYYY")),"Invalid Date")</f>
        <v>14-Oct-2022</v>
      </c>
      <c r="H173" s="16" t="str">
        <f>PROPER(TRIM('📂 Raw Data'!H173))</f>
        <v>Kolkata</v>
      </c>
      <c r="I173" s="18">
        <f>IFERROR(IF(ISNUMBER('📂 Raw Data'!I173),ABS('📂 Raw Data'!I173),0),0)</f>
        <v>75965</v>
      </c>
      <c r="J173" s="18">
        <f>IFERROR(ABS('📂 Raw Data'!J173),0)</f>
        <v>22857</v>
      </c>
      <c r="K173" s="18">
        <f>IFERROR(ABS('📂 Raw Data'!K173),0)</f>
        <v>5519</v>
      </c>
      <c r="L173" s="18">
        <f>IFERROR(ABS('📂 Raw Data'!L173),0)</f>
        <v>1685</v>
      </c>
      <c r="M173" s="18">
        <f>IFERROR(ABS('📂 Raw Data'!M173),0)</f>
        <v>3280</v>
      </c>
      <c r="N173" s="18">
        <f t="shared" si="2"/>
        <v>109306</v>
      </c>
      <c r="O173" s="16">
        <f>IFERROR(ABS('📂 Raw Data'!O173),0)</f>
        <v>26</v>
      </c>
      <c r="P173" s="20">
        <f>IFERROR(ABS('📂 Raw Data'!P42),0)</f>
        <v>73</v>
      </c>
      <c r="Q173" s="19" t="str">
        <f>'📂 Raw Data'!Q173</f>
        <v>Average</v>
      </c>
      <c r="R173" s="55" t="str">
        <f>'📂 Raw Data'!R173</f>
        <v>Resigned</v>
      </c>
    </row>
    <row r="174" spans="1:18" ht="18" customHeight="1">
      <c r="A174" s="54" t="str">
        <f>'📂 Raw Data'!A174</f>
        <v>EMP1172</v>
      </c>
      <c r="B174" s="16" t="str">
        <f>PROPER(TRIM('📂 Raw Data'!B174))</f>
        <v>Deepa Nair</v>
      </c>
      <c r="C174" s="16">
        <f>'📂 Raw Data'!C174</f>
        <v>29</v>
      </c>
      <c r="D174" s="16" t="str">
        <f>IF(OR('📂 Raw Data'!D174="M",'📂 Raw Data'!D174="m"),"Male",IF(OR('📂 Raw Data'!D174="F",'📂 Raw Data'!D174="f"),"Female",PROPER('📂 Raw Data'!D174)))</f>
        <v>Female</v>
      </c>
      <c r="E174" s="17" t="str">
        <f>UPPER(TRIM('📂 Raw Data'!E174))</f>
        <v>SALES</v>
      </c>
      <c r="F174" s="16" t="str">
        <f>PROPER(TRIM('📂 Raw Data'!F174))</f>
        <v>Business Dev</v>
      </c>
      <c r="G174" s="16" t="str">
        <f>IFERROR(IF(ISNUMBER('📂 Raw Data'!G174),TEXT('📂 Raw Data'!G174,"DD-MMM-YYYY"),TEXT(DATEVALUE('📂 Raw Data'!G174),"DD-MMM-YYYY")),"Invalid Date")</f>
        <v>22-May-2016</v>
      </c>
      <c r="H174" s="16" t="str">
        <f>PROPER(TRIM('📂 Raw Data'!H174))</f>
        <v>Bangalore</v>
      </c>
      <c r="I174" s="18">
        <f>IFERROR(IF(ISNUMBER('📂 Raw Data'!I174),ABS('📂 Raw Data'!I174),0),0)</f>
        <v>89157</v>
      </c>
      <c r="J174" s="18">
        <f>IFERROR(ABS('📂 Raw Data'!J174),0)</f>
        <v>36157</v>
      </c>
      <c r="K174" s="18">
        <f>IFERROR(ABS('📂 Raw Data'!K174),0)</f>
        <v>12471</v>
      </c>
      <c r="L174" s="18">
        <f>IFERROR(ABS('📂 Raw Data'!L174),0)</f>
        <v>2567</v>
      </c>
      <c r="M174" s="18">
        <f>IFERROR(ABS('📂 Raw Data'!M174),0)</f>
        <v>5890</v>
      </c>
      <c r="N174" s="18">
        <f t="shared" si="2"/>
        <v>146242</v>
      </c>
      <c r="O174" s="16">
        <f>IFERROR(ABS('📂 Raw Data'!O174),0)</f>
        <v>21</v>
      </c>
      <c r="P174" s="20">
        <f>IFERROR(ABS('📂 Raw Data'!P43),0)</f>
        <v>51</v>
      </c>
      <c r="Q174" s="19" t="str">
        <f>'📂 Raw Data'!Q174</f>
        <v>Poor</v>
      </c>
      <c r="R174" s="55" t="str">
        <f>'📂 Raw Data'!R174</f>
        <v>Active</v>
      </c>
    </row>
    <row r="175" spans="1:18" ht="18" customHeight="1">
      <c r="A175" s="54" t="str">
        <f>'📂 Raw Data'!A175</f>
        <v>EMP1173</v>
      </c>
      <c r="B175" s="16" t="str">
        <f>PROPER(TRIM('📂 Raw Data'!B175))</f>
        <v>Usha Jain</v>
      </c>
      <c r="C175" s="16">
        <f>'📂 Raw Data'!C175</f>
        <v>54</v>
      </c>
      <c r="D175" s="16" t="str">
        <f>IF(OR('📂 Raw Data'!D175="M",'📂 Raw Data'!D175="m"),"Male",IF(OR('📂 Raw Data'!D175="F",'📂 Raw Data'!D175="f"),"Female",PROPER('📂 Raw Data'!D175)))</f>
        <v>Male</v>
      </c>
      <c r="E175" s="17" t="str">
        <f>UPPER(TRIM('📂 Raw Data'!E175))</f>
        <v>SALES</v>
      </c>
      <c r="F175" s="16" t="str">
        <f>PROPER(TRIM('📂 Raw Data'!F175))</f>
        <v>Sales Manager</v>
      </c>
      <c r="G175" s="16" t="str">
        <f>IFERROR(IF(ISNUMBER('📂 Raw Data'!G175),TEXT('📂 Raw Data'!G175,"DD-MMM-YYYY"),TEXT(DATEVALUE('📂 Raw Data'!G175),"DD-MMM-YYYY")),"Invalid Date")</f>
        <v>05-Nov-2016</v>
      </c>
      <c r="H175" s="16" t="str">
        <f>PROPER(TRIM('📂 Raw Data'!H175))</f>
        <v>Chennai</v>
      </c>
      <c r="I175" s="18">
        <f>IFERROR(IF(ISNUMBER('📂 Raw Data'!I175),ABS('📂 Raw Data'!I175),0),0)</f>
        <v>66049</v>
      </c>
      <c r="J175" s="18">
        <f>IFERROR(ABS('📂 Raw Data'!J175),0)</f>
        <v>21372</v>
      </c>
      <c r="K175" s="18">
        <f>IFERROR(ABS('📂 Raw Data'!K175),0)</f>
        <v>7003</v>
      </c>
      <c r="L175" s="18">
        <f>IFERROR(ABS('📂 Raw Data'!L175),0)</f>
        <v>958</v>
      </c>
      <c r="M175" s="18">
        <f>IFERROR(ABS('📂 Raw Data'!M175),0)</f>
        <v>2499</v>
      </c>
      <c r="N175" s="18">
        <f t="shared" si="2"/>
        <v>97881</v>
      </c>
      <c r="O175" s="16">
        <f>IFERROR(ABS('📂 Raw Data'!O175),0)</f>
        <v>20</v>
      </c>
      <c r="P175" s="20">
        <f>IFERROR(ABS('📂 Raw Data'!P44),0)</f>
        <v>48</v>
      </c>
      <c r="Q175" s="19" t="str">
        <f>'📂 Raw Data'!Q175</f>
        <v>Poor</v>
      </c>
      <c r="R175" s="55" t="str">
        <f>'📂 Raw Data'!R175</f>
        <v>Active</v>
      </c>
    </row>
    <row r="176" spans="1:18" ht="18" customHeight="1">
      <c r="A176" s="54" t="str">
        <f>'📂 Raw Data'!A176</f>
        <v>EMP1174</v>
      </c>
      <c r="B176" s="16" t="str">
        <f>PROPER(TRIM('📂 Raw Data'!B176))</f>
        <v>Chetan Kapoor</v>
      </c>
      <c r="C176" s="16">
        <f>'📂 Raw Data'!C176</f>
        <v>40</v>
      </c>
      <c r="D176" s="16" t="str">
        <f>IF(OR('📂 Raw Data'!D176="M",'📂 Raw Data'!D176="m"),"Male",IF(OR('📂 Raw Data'!D176="F",'📂 Raw Data'!D176="f"),"Female",PROPER('📂 Raw Data'!D176)))</f>
        <v>Female</v>
      </c>
      <c r="E176" s="17" t="str">
        <f>UPPER(TRIM('📂 Raw Data'!E176))</f>
        <v>FINANCE</v>
      </c>
      <c r="F176" s="16" t="str">
        <f>PROPER(TRIM('📂 Raw Data'!F176))</f>
        <v>Auditor</v>
      </c>
      <c r="G176" s="16" t="str">
        <f>IFERROR(IF(ISNUMBER('📂 Raw Data'!G176),TEXT('📂 Raw Data'!G176,"DD-MMM-YYYY"),TEXT(DATEVALUE('📂 Raw Data'!G176),"DD-MMM-YYYY")),"Invalid Date")</f>
        <v>21-Aug-2017</v>
      </c>
      <c r="H176" s="16" t="str">
        <f>PROPER(TRIM('📂 Raw Data'!H176))</f>
        <v>Delhi</v>
      </c>
      <c r="I176" s="18">
        <f>IFERROR(IF(ISNUMBER('📂 Raw Data'!I176),ABS('📂 Raw Data'!I176),0),0)</f>
        <v>95435</v>
      </c>
      <c r="J176" s="18">
        <f>IFERROR(ABS('📂 Raw Data'!J176),0)</f>
        <v>41866</v>
      </c>
      <c r="K176" s="18">
        <f>IFERROR(ABS('📂 Raw Data'!K176),0)</f>
        <v>12571</v>
      </c>
      <c r="L176" s="18">
        <f>IFERROR(ABS('📂 Raw Data'!L176),0)</f>
        <v>7624</v>
      </c>
      <c r="M176" s="18">
        <f>IFERROR(ABS('📂 Raw Data'!M176),0)</f>
        <v>2419</v>
      </c>
      <c r="N176" s="18">
        <f t="shared" si="2"/>
        <v>159915</v>
      </c>
      <c r="O176" s="16">
        <f>IFERROR(ABS('📂 Raw Data'!O176),0)</f>
        <v>23</v>
      </c>
      <c r="P176" s="20">
        <f>IFERROR(ABS('📂 Raw Data'!P45),0)</f>
        <v>56</v>
      </c>
      <c r="Q176" s="19" t="str">
        <f>'📂 Raw Data'!Q176</f>
        <v>Poor</v>
      </c>
      <c r="R176" s="55" t="str">
        <f>'📂 Raw Data'!R176</f>
        <v>Active</v>
      </c>
    </row>
    <row r="177" spans="1:18" ht="18" customHeight="1">
      <c r="A177" s="54" t="str">
        <f>'📂 Raw Data'!A177</f>
        <v>EMP1175</v>
      </c>
      <c r="B177" s="16" t="str">
        <f>PROPER(TRIM('📂 Raw Data'!B177))</f>
        <v>Lakshmi Singh</v>
      </c>
      <c r="C177" s="16">
        <f>'📂 Raw Data'!C177</f>
        <v>48</v>
      </c>
      <c r="D177" s="16" t="str">
        <f>IF(OR('📂 Raw Data'!D177="M",'📂 Raw Data'!D177="m"),"Male",IF(OR('📂 Raw Data'!D177="F",'📂 Raw Data'!D177="f"),"Female",PROPER('📂 Raw Data'!D177)))</f>
        <v>Female</v>
      </c>
      <c r="E177" s="17" t="str">
        <f>UPPER(TRIM('📂 Raw Data'!E177))</f>
        <v>ENGINEERING</v>
      </c>
      <c r="F177" s="16" t="str">
        <f>PROPER(TRIM('📂 Raw Data'!F177))</f>
        <v>Tech Lead</v>
      </c>
      <c r="G177" s="16" t="str">
        <f>IFERROR(IF(ISNUMBER('📂 Raw Data'!G177),TEXT('📂 Raw Data'!G177,"DD-MMM-YYYY"),TEXT(DATEVALUE('📂 Raw Data'!G177),"DD-MMM-YYYY")),"Invalid Date")</f>
        <v>05-Aug-2015</v>
      </c>
      <c r="H177" s="16" t="str">
        <f>PROPER(TRIM('📂 Raw Data'!H177))</f>
        <v>Pune</v>
      </c>
      <c r="I177" s="18">
        <f>IFERROR(IF(ISNUMBER('📂 Raw Data'!I177),ABS('📂 Raw Data'!I177),0),0)</f>
        <v>50575</v>
      </c>
      <c r="J177" s="18">
        <f>IFERROR(ABS('📂 Raw Data'!J177),0)</f>
        <v>23418</v>
      </c>
      <c r="K177" s="18">
        <f>IFERROR(ABS('📂 Raw Data'!K177),0)</f>
        <v>11200</v>
      </c>
      <c r="L177" s="18">
        <f>IFERROR(ABS('📂 Raw Data'!L177),0)</f>
        <v>4140</v>
      </c>
      <c r="M177" s="18">
        <f>IFERROR(ABS('📂 Raw Data'!M177),0)</f>
        <v>6349</v>
      </c>
      <c r="N177" s="18">
        <f t="shared" si="2"/>
        <v>95682</v>
      </c>
      <c r="O177" s="16">
        <f>IFERROR(ABS('📂 Raw Data'!O177),0)</f>
        <v>22</v>
      </c>
      <c r="P177" s="20">
        <f>IFERROR(ABS('📂 Raw Data'!P46),0)</f>
        <v>88</v>
      </c>
      <c r="Q177" s="19" t="str">
        <f>'📂 Raw Data'!Q177</f>
        <v>Excellent</v>
      </c>
      <c r="R177" s="55" t="str">
        <f>'📂 Raw Data'!R177</f>
        <v>Active</v>
      </c>
    </row>
    <row r="178" spans="1:18" ht="18" customHeight="1">
      <c r="A178" s="54" t="str">
        <f>'📂 Raw Data'!A178</f>
        <v>EMP1176</v>
      </c>
      <c r="B178" s="16" t="str">
        <f>PROPER(TRIM('📂 Raw Data'!B178))</f>
        <v>Dinesh Ahuja</v>
      </c>
      <c r="C178" s="16">
        <f>'📂 Raw Data'!C178</f>
        <v>54</v>
      </c>
      <c r="D178" s="16" t="str">
        <f>IF(OR('📂 Raw Data'!D178="M",'📂 Raw Data'!D178="m"),"Male",IF(OR('📂 Raw Data'!D178="F",'📂 Raw Data'!D178="f"),"Female",PROPER('📂 Raw Data'!D178)))</f>
        <v>Female</v>
      </c>
      <c r="E178" s="17" t="str">
        <f>UPPER(TRIM('📂 Raw Data'!E178))</f>
        <v>MARKETING</v>
      </c>
      <c r="F178" s="16" t="str">
        <f>PROPER(TRIM('📂 Raw Data'!F178))</f>
        <v>Marketing Executive</v>
      </c>
      <c r="G178" s="16" t="str">
        <f>IFERROR(IF(ISNUMBER('📂 Raw Data'!G178),TEXT('📂 Raw Data'!G178,"DD-MMM-YYYY"),TEXT(DATEVALUE('📂 Raw Data'!G178),"DD-MMM-YYYY")),"Invalid Date")</f>
        <v>02-May-2018</v>
      </c>
      <c r="H178" s="16" t="str">
        <f>PROPER(TRIM('📂 Raw Data'!H178))</f>
        <v>Mumbai</v>
      </c>
      <c r="I178" s="18">
        <f>IFERROR(IF(ISNUMBER('📂 Raw Data'!I178),ABS('📂 Raw Data'!I178),0),0)</f>
        <v>0</v>
      </c>
      <c r="J178" s="18">
        <f>IFERROR(ABS('📂 Raw Data'!J178),0)</f>
        <v>21052</v>
      </c>
      <c r="K178" s="18">
        <f>IFERROR(ABS('📂 Raw Data'!K178),0)</f>
        <v>6729</v>
      </c>
      <c r="L178" s="18">
        <f>IFERROR(ABS('📂 Raw Data'!L178),0)</f>
        <v>1377</v>
      </c>
      <c r="M178" s="18">
        <f>IFERROR(ABS('📂 Raw Data'!M178),0)</f>
        <v>7395</v>
      </c>
      <c r="N178" s="18">
        <f t="shared" si="2"/>
        <v>36553</v>
      </c>
      <c r="O178" s="16">
        <f>IFERROR(ABS('📂 Raw Data'!O178),0)</f>
        <v>22</v>
      </c>
      <c r="P178" s="20">
        <f>IFERROR(ABS('📂 Raw Data'!P47),0)</f>
        <v>80</v>
      </c>
      <c r="Q178" s="19" t="str">
        <f>'📂 Raw Data'!Q178</f>
        <v>Poor</v>
      </c>
      <c r="R178" s="55" t="str">
        <f>'📂 Raw Data'!R178</f>
        <v>Resigned</v>
      </c>
    </row>
    <row r="179" spans="1:18" ht="18" customHeight="1">
      <c r="A179" s="54" t="str">
        <f>'📂 Raw Data'!A179</f>
        <v>EMP1177</v>
      </c>
      <c r="B179" s="16" t="str">
        <f>PROPER(TRIM('📂 Raw Data'!B179))</f>
        <v>Priya Subramaniam</v>
      </c>
      <c r="C179" s="16">
        <f>'📂 Raw Data'!C179</f>
        <v>50</v>
      </c>
      <c r="D179" s="16" t="str">
        <f>IF(OR('📂 Raw Data'!D179="M",'📂 Raw Data'!D179="m"),"Male",IF(OR('📂 Raw Data'!D179="F",'📂 Raw Data'!D179="f"),"Female",PROPER('📂 Raw Data'!D179)))</f>
        <v>Male</v>
      </c>
      <c r="E179" s="17" t="str">
        <f>UPPER(TRIM('📂 Raw Data'!E179))</f>
        <v>HR</v>
      </c>
      <c r="F179" s="16" t="str">
        <f>PROPER(TRIM('📂 Raw Data'!F179))</f>
        <v>Hr Executive</v>
      </c>
      <c r="G179" s="16" t="str">
        <f>IFERROR(IF(ISNUMBER('📂 Raw Data'!G179),TEXT('📂 Raw Data'!G179,"DD-MMM-YYYY"),TEXT(DATEVALUE('📂 Raw Data'!G179),"DD-MMM-YYYY")),"Invalid Date")</f>
        <v>07-Sep-2022</v>
      </c>
      <c r="H179" s="16" t="str">
        <f>PROPER(TRIM('📂 Raw Data'!H179))</f>
        <v>Bangalore</v>
      </c>
      <c r="I179" s="18">
        <f>IFERROR(IF(ISNUMBER('📂 Raw Data'!I179),ABS('📂 Raw Data'!I179),0),0)</f>
        <v>80725</v>
      </c>
      <c r="J179" s="18">
        <f>IFERROR(ABS('📂 Raw Data'!J179),0)</f>
        <v>25871</v>
      </c>
      <c r="K179" s="18">
        <f>IFERROR(ABS('📂 Raw Data'!K179),0)</f>
        <v>12709</v>
      </c>
      <c r="L179" s="18">
        <f>IFERROR(ABS('📂 Raw Data'!L179),0)</f>
        <v>6155</v>
      </c>
      <c r="M179" s="18">
        <f>IFERROR(ABS('📂 Raw Data'!M179),0)</f>
        <v>3027</v>
      </c>
      <c r="N179" s="18">
        <f t="shared" si="2"/>
        <v>128487</v>
      </c>
      <c r="O179" s="16">
        <f>IFERROR(ABS('📂 Raw Data'!O179),0)</f>
        <v>19</v>
      </c>
      <c r="P179" s="20">
        <f>IFERROR(ABS('📂 Raw Data'!P48),0)</f>
        <v>58</v>
      </c>
      <c r="Q179" s="19" t="str">
        <f>'📂 Raw Data'!Q179</f>
        <v>Excellent</v>
      </c>
      <c r="R179" s="55" t="str">
        <f>'📂 Raw Data'!R179</f>
        <v>Active</v>
      </c>
    </row>
    <row r="180" spans="1:18" ht="18" customHeight="1">
      <c r="A180" s="54" t="str">
        <f>'📂 Raw Data'!A180</f>
        <v>EMP1178</v>
      </c>
      <c r="B180" s="16" t="str">
        <f>PROPER(TRIM('📂 Raw Data'!B180))</f>
        <v>Pooja Khanna</v>
      </c>
      <c r="C180" s="16">
        <f>'📂 Raw Data'!C180</f>
        <v>35</v>
      </c>
      <c r="D180" s="16" t="str">
        <f>IF(OR('📂 Raw Data'!D180="M",'📂 Raw Data'!D180="m"),"Male",IF(OR('📂 Raw Data'!D180="F",'📂 Raw Data'!D180="f"),"Female",PROPER('📂 Raw Data'!D180)))</f>
        <v>Male</v>
      </c>
      <c r="E180" s="17" t="str">
        <f>UPPER(TRIM('📂 Raw Data'!E180))</f>
        <v>FINANCE</v>
      </c>
      <c r="F180" s="16" t="str">
        <f>PROPER(TRIM('📂 Raw Data'!F180))</f>
        <v>Accountant</v>
      </c>
      <c r="G180" s="16" t="str">
        <f>IFERROR(IF(ISNUMBER('📂 Raw Data'!G180),TEXT('📂 Raw Data'!G180,"DD-MMM-YYYY"),TEXT(DATEVALUE('📂 Raw Data'!G180),"DD-MMM-YYYY")),"Invalid Date")</f>
        <v>26-Apr-2018</v>
      </c>
      <c r="H180" s="16" t="str">
        <f>PROPER(TRIM('📂 Raw Data'!H180))</f>
        <v>Kolkata</v>
      </c>
      <c r="I180" s="18">
        <f>IFERROR(IF(ISNUMBER('📂 Raw Data'!I180),ABS('📂 Raw Data'!I180),0),0)</f>
        <v>102060</v>
      </c>
      <c r="J180" s="18">
        <f>IFERROR(ABS('📂 Raw Data'!J180),0)</f>
        <v>44685</v>
      </c>
      <c r="K180" s="18">
        <f>IFERROR(ABS('📂 Raw Data'!K180),0)</f>
        <v>13644</v>
      </c>
      <c r="L180" s="18">
        <f>IFERROR(ABS('📂 Raw Data'!L180),0)</f>
        <v>4999</v>
      </c>
      <c r="M180" s="18">
        <f>IFERROR(ABS('📂 Raw Data'!M180),0)</f>
        <v>6183</v>
      </c>
      <c r="N180" s="18">
        <f t="shared" si="2"/>
        <v>171571</v>
      </c>
      <c r="O180" s="16">
        <f>IFERROR(ABS('📂 Raw Data'!O180),0)</f>
        <v>21</v>
      </c>
      <c r="P180" s="20">
        <f>IFERROR(ABS('📂 Raw Data'!P49),0)</f>
        <v>43</v>
      </c>
      <c r="Q180" s="19" t="str">
        <f>'📂 Raw Data'!Q180</f>
        <v>Poor</v>
      </c>
      <c r="R180" s="55" t="str">
        <f>'📂 Raw Data'!R180</f>
        <v>Active</v>
      </c>
    </row>
    <row r="181" spans="1:18" ht="18" customHeight="1">
      <c r="A181" s="54" t="str">
        <f>'📂 Raw Data'!A181</f>
        <v>EMP1179</v>
      </c>
      <c r="B181" s="16" t="str">
        <f>PROPER(TRIM('📂 Raw Data'!B181))</f>
        <v>Isha Ahuja</v>
      </c>
      <c r="C181" s="16">
        <f>'📂 Raw Data'!C181</f>
        <v>30</v>
      </c>
      <c r="D181" s="16" t="str">
        <f>IF(OR('📂 Raw Data'!D181="M",'📂 Raw Data'!D181="m"),"Male",IF(OR('📂 Raw Data'!D181="F",'📂 Raw Data'!D181="f"),"Female",PROPER('📂 Raw Data'!D181)))</f>
        <v>Male</v>
      </c>
      <c r="E181" s="17" t="str">
        <f>UPPER(TRIM('📂 Raw Data'!E181))</f>
        <v>HR</v>
      </c>
      <c r="F181" s="16" t="str">
        <f>PROPER(TRIM('📂 Raw Data'!F181))</f>
        <v>Recruiter</v>
      </c>
      <c r="G181" s="16" t="str">
        <f>IFERROR(IF(ISNUMBER('📂 Raw Data'!G181),TEXT('📂 Raw Data'!G181,"DD-MMM-YYYY"),TEXT(DATEVALUE('📂 Raw Data'!G181),"DD-MMM-YYYY")),"Invalid Date")</f>
        <v>11-Mar-2023</v>
      </c>
      <c r="H181" s="16" t="str">
        <f>PROPER(TRIM('📂 Raw Data'!H181))</f>
        <v>Kolkata</v>
      </c>
      <c r="I181" s="18">
        <f>IFERROR(IF(ISNUMBER('📂 Raw Data'!I181),ABS('📂 Raw Data'!I181),0),0)</f>
        <v>117281</v>
      </c>
      <c r="J181" s="18">
        <f>IFERROR(ABS('📂 Raw Data'!J181),0)</f>
        <v>42048</v>
      </c>
      <c r="K181" s="18">
        <f>IFERROR(ABS('📂 Raw Data'!K181),0)</f>
        <v>11383</v>
      </c>
      <c r="L181" s="18">
        <f>IFERROR(ABS('📂 Raw Data'!L181),0)</f>
        <v>2190</v>
      </c>
      <c r="M181" s="18">
        <f>IFERROR(ABS('📂 Raw Data'!M181),0)</f>
        <v>5214</v>
      </c>
      <c r="N181" s="18">
        <f t="shared" si="2"/>
        <v>178116</v>
      </c>
      <c r="O181" s="16">
        <f>IFERROR(ABS('📂 Raw Data'!O181),0)</f>
        <v>25</v>
      </c>
      <c r="P181" s="20">
        <f>IFERROR(ABS('📂 Raw Data'!P50),0)</f>
        <v>68</v>
      </c>
      <c r="Q181" s="19" t="str">
        <f>'📂 Raw Data'!Q181</f>
        <v>Good</v>
      </c>
      <c r="R181" s="55" t="str">
        <f>'📂 Raw Data'!R181</f>
        <v>Active</v>
      </c>
    </row>
    <row r="182" spans="1:18" ht="18" customHeight="1">
      <c r="A182" s="54" t="str">
        <f>'📂 Raw Data'!A182</f>
        <v>EMP1180</v>
      </c>
      <c r="B182" s="16" t="str">
        <f>PROPER(TRIM('📂 Raw Data'!B182))</f>
        <v>Naina Kapoor</v>
      </c>
      <c r="C182" s="16">
        <f>'📂 Raw Data'!C182</f>
        <v>39</v>
      </c>
      <c r="D182" s="16" t="str">
        <f>IF(OR('📂 Raw Data'!D182="M",'📂 Raw Data'!D182="m"),"Male",IF(OR('📂 Raw Data'!D182="F",'📂 Raw Data'!D182="f"),"Female",PROPER('📂 Raw Data'!D182)))</f>
        <v>Male</v>
      </c>
      <c r="E182" s="17" t="str">
        <f>UPPER(TRIM('📂 Raw Data'!E182))</f>
        <v>OPERATIONS</v>
      </c>
      <c r="F182" s="16" t="str">
        <f>PROPER(TRIM('📂 Raw Data'!F182))</f>
        <v>Logistics Manager</v>
      </c>
      <c r="G182" s="16" t="str">
        <f>IFERROR(IF(ISNUMBER('📂 Raw Data'!G182),TEXT('📂 Raw Data'!G182,"DD-MMM-YYYY"),TEXT(DATEVALUE('📂 Raw Data'!G182),"DD-MMM-YYYY")),"Invalid Date")</f>
        <v>23-Mar-2018</v>
      </c>
      <c r="H182" s="16" t="str">
        <f>PROPER(TRIM('📂 Raw Data'!H182))</f>
        <v>Pune</v>
      </c>
      <c r="I182" s="18">
        <f>IFERROR(IF(ISNUMBER('📂 Raw Data'!I182),ABS('📂 Raw Data'!I182),0),0)</f>
        <v>67217</v>
      </c>
      <c r="J182" s="18">
        <f>IFERROR(ABS('📂 Raw Data'!J182),0)</f>
        <v>31303</v>
      </c>
      <c r="K182" s="18">
        <f>IFERROR(ABS('📂 Raw Data'!K182),0)</f>
        <v>14475</v>
      </c>
      <c r="L182" s="18">
        <f>IFERROR(ABS('📂 Raw Data'!L182),0)</f>
        <v>6910</v>
      </c>
      <c r="M182" s="18">
        <f>IFERROR(ABS('📂 Raw Data'!M182),0)</f>
        <v>6539</v>
      </c>
      <c r="N182" s="18">
        <f t="shared" si="2"/>
        <v>126444</v>
      </c>
      <c r="O182" s="16">
        <f>IFERROR(ABS('📂 Raw Data'!O182),0)</f>
        <v>21</v>
      </c>
      <c r="P182" s="20">
        <f>IFERROR(ABS('📂 Raw Data'!P51),0)</f>
        <v>76</v>
      </c>
      <c r="Q182" s="19" t="str">
        <f>'📂 Raw Data'!Q182</f>
        <v>Excellent</v>
      </c>
      <c r="R182" s="55" t="str">
        <f>'📂 Raw Data'!R182</f>
        <v>Active</v>
      </c>
    </row>
    <row r="183" spans="1:18" ht="18" customHeight="1">
      <c r="A183" s="54" t="str">
        <f>'📂 Raw Data'!A183</f>
        <v>EMP1181</v>
      </c>
      <c r="B183" s="16" t="str">
        <f>PROPER(TRIM('📂 Raw Data'!B183))</f>
        <v>Amit Chauhan</v>
      </c>
      <c r="C183" s="16">
        <f>'📂 Raw Data'!C183</f>
        <v>27</v>
      </c>
      <c r="D183" s="16" t="str">
        <f>IF(OR('📂 Raw Data'!D183="M",'📂 Raw Data'!D183="m"),"Male",IF(OR('📂 Raw Data'!D183="F",'📂 Raw Data'!D183="f"),"Female",PROPER('📂 Raw Data'!D183)))</f>
        <v>Male</v>
      </c>
      <c r="E183" s="17" t="str">
        <f>UPPER(TRIM('📂 Raw Data'!E183))</f>
        <v>OPERATIONS</v>
      </c>
      <c r="F183" s="16" t="str">
        <f>PROPER(TRIM('📂 Raw Data'!F183))</f>
        <v>Operations Executive</v>
      </c>
      <c r="G183" s="16" t="str">
        <f>IFERROR(IF(ISNUMBER('📂 Raw Data'!G183),TEXT('📂 Raw Data'!G183,"DD-MMM-YYYY"),TEXT(DATEVALUE('📂 Raw Data'!G183),"DD-MMM-YYYY")),"Invalid Date")</f>
        <v>09-Jan-2021</v>
      </c>
      <c r="H183" s="16" t="str">
        <f>PROPER(TRIM('📂 Raw Data'!H183))</f>
        <v>Pune</v>
      </c>
      <c r="I183" s="18">
        <f>IFERROR(IF(ISNUMBER('📂 Raw Data'!I183),ABS('📂 Raw Data'!I183),0),0)</f>
        <v>61467</v>
      </c>
      <c r="J183" s="18">
        <f>IFERROR(ABS('📂 Raw Data'!J183),0)</f>
        <v>26980</v>
      </c>
      <c r="K183" s="18">
        <f>IFERROR(ABS('📂 Raw Data'!K183),0)</f>
        <v>8046</v>
      </c>
      <c r="L183" s="18">
        <f>IFERROR(ABS('📂 Raw Data'!L183),0)</f>
        <v>3724</v>
      </c>
      <c r="M183" s="18">
        <f>IFERROR(ABS('📂 Raw Data'!M183),0)</f>
        <v>4998</v>
      </c>
      <c r="N183" s="18">
        <f t="shared" si="2"/>
        <v>105215</v>
      </c>
      <c r="O183" s="16">
        <f>IFERROR(ABS('📂 Raw Data'!O183),0)</f>
        <v>20</v>
      </c>
      <c r="P183" s="20">
        <f>IFERROR(ABS('📂 Raw Data'!P52),0)</f>
        <v>61</v>
      </c>
      <c r="Q183" s="19" t="str">
        <f>'📂 Raw Data'!Q183</f>
        <v>Average</v>
      </c>
      <c r="R183" s="55" t="str">
        <f>'📂 Raw Data'!R183</f>
        <v>Active</v>
      </c>
    </row>
    <row r="184" spans="1:18" ht="18" customHeight="1">
      <c r="A184" s="54" t="str">
        <f>'📂 Raw Data'!A184</f>
        <v>EMP1182</v>
      </c>
      <c r="B184" s="16" t="str">
        <f>PROPER(TRIM('📂 Raw Data'!B184))</f>
        <v>Bhavna Das</v>
      </c>
      <c r="C184" s="16">
        <f>'📂 Raw Data'!C184</f>
        <v>53</v>
      </c>
      <c r="D184" s="16" t="str">
        <f>IF(OR('📂 Raw Data'!D184="M",'📂 Raw Data'!D184="m"),"Male",IF(OR('📂 Raw Data'!D184="F",'📂 Raw Data'!D184="f"),"Female",PROPER('📂 Raw Data'!D184)))</f>
        <v>Male</v>
      </c>
      <c r="E184" s="17" t="str">
        <f>UPPER(TRIM('📂 Raw Data'!E184))</f>
        <v>ENGINEERING</v>
      </c>
      <c r="F184" s="16" t="str">
        <f>PROPER(TRIM('📂 Raw Data'!F184))</f>
        <v>Qa Engineer</v>
      </c>
      <c r="G184" s="16" t="str">
        <f>IFERROR(IF(ISNUMBER('📂 Raw Data'!G184),TEXT('📂 Raw Data'!G184,"DD-MMM-YYYY"),TEXT(DATEVALUE('📂 Raw Data'!G184),"DD-MMM-YYYY")),"Invalid Date")</f>
        <v>27-Jul-2018</v>
      </c>
      <c r="H184" s="16" t="str">
        <f>PROPER(TRIM('📂 Raw Data'!H184))</f>
        <v>Kolkata</v>
      </c>
      <c r="I184" s="18">
        <f>IFERROR(IF(ISNUMBER('📂 Raw Data'!I184),ABS('📂 Raw Data'!I184),0),0)</f>
        <v>52767</v>
      </c>
      <c r="J184" s="18">
        <f>IFERROR(ABS('📂 Raw Data'!J184),0)</f>
        <v>21051</v>
      </c>
      <c r="K184" s="18">
        <f>IFERROR(ABS('📂 Raw Data'!K184),0)</f>
        <v>7289</v>
      </c>
      <c r="L184" s="18">
        <f>IFERROR(ABS('📂 Raw Data'!L184),0)</f>
        <v>6785</v>
      </c>
      <c r="M184" s="18">
        <f>IFERROR(ABS('📂 Raw Data'!M184),0)</f>
        <v>3323</v>
      </c>
      <c r="N184" s="18">
        <f t="shared" si="2"/>
        <v>91215</v>
      </c>
      <c r="O184" s="16">
        <f>IFERROR(ABS('📂 Raw Data'!O184),0)</f>
        <v>20</v>
      </c>
      <c r="P184" s="20">
        <f>IFERROR(ABS('📂 Raw Data'!P53),0)</f>
        <v>82</v>
      </c>
      <c r="Q184" s="19" t="str">
        <f>'📂 Raw Data'!Q184</f>
        <v>Excellent</v>
      </c>
      <c r="R184" s="55" t="str">
        <f>'📂 Raw Data'!R184</f>
        <v>Active</v>
      </c>
    </row>
    <row r="185" spans="1:18" ht="18" customHeight="1">
      <c r="A185" s="54" t="str">
        <f>'📂 Raw Data'!A185</f>
        <v>EMP1183</v>
      </c>
      <c r="B185" s="16" t="str">
        <f>PROPER(TRIM('📂 Raw Data'!B185))</f>
        <v>Sanjay Mehta</v>
      </c>
      <c r="C185" s="16">
        <f>'📂 Raw Data'!C185</f>
        <v>41</v>
      </c>
      <c r="D185" s="16" t="str">
        <f>IF(OR('📂 Raw Data'!D185="M",'📂 Raw Data'!D185="m"),"Male",IF(OR('📂 Raw Data'!D185="F",'📂 Raw Data'!D185="f"),"Female",PROPER('📂 Raw Data'!D185)))</f>
        <v>Male</v>
      </c>
      <c r="E185" s="17" t="str">
        <f>UPPER(TRIM('📂 Raw Data'!E185))</f>
        <v>ENGINEERING</v>
      </c>
      <c r="F185" s="16" t="str">
        <f>PROPER(TRIM('📂 Raw Data'!F185))</f>
        <v>Software Engineer</v>
      </c>
      <c r="G185" s="16" t="str">
        <f>IFERROR(IF(ISNUMBER('📂 Raw Data'!G185),TEXT('📂 Raw Data'!G185,"DD-MMM-YYYY"),TEXT(DATEVALUE('📂 Raw Data'!G185),"DD-MMM-YYYY")),"Invalid Date")</f>
        <v>04-Jan-2022</v>
      </c>
      <c r="H185" s="16" t="str">
        <f>PROPER(TRIM('📂 Raw Data'!H185))</f>
        <v>Delhi</v>
      </c>
      <c r="I185" s="18">
        <f>IFERROR(IF(ISNUMBER('📂 Raw Data'!I185),ABS('📂 Raw Data'!I185),0),0)</f>
        <v>45707</v>
      </c>
      <c r="J185" s="18">
        <f>IFERROR(ABS('📂 Raw Data'!J185),0)</f>
        <v>17746</v>
      </c>
      <c r="K185" s="18">
        <f>IFERROR(ABS('📂 Raw Data'!K185),0)</f>
        <v>2011</v>
      </c>
      <c r="L185" s="18">
        <f>IFERROR(ABS('📂 Raw Data'!L185),0)</f>
        <v>7848</v>
      </c>
      <c r="M185" s="18">
        <f>IFERROR(ABS('📂 Raw Data'!M185),0)</f>
        <v>4504</v>
      </c>
      <c r="N185" s="18">
        <f t="shared" si="2"/>
        <v>77816</v>
      </c>
      <c r="O185" s="16">
        <f>IFERROR(ABS('📂 Raw Data'!O185),0)</f>
        <v>18</v>
      </c>
      <c r="P185" s="20">
        <f>IFERROR(ABS('📂 Raw Data'!P54),0)</f>
        <v>47</v>
      </c>
      <c r="Q185" s="19" t="str">
        <f>'📂 Raw Data'!Q185</f>
        <v>Average</v>
      </c>
      <c r="R185" s="55" t="str">
        <f>'📂 Raw Data'!R185</f>
        <v>Active</v>
      </c>
    </row>
    <row r="186" spans="1:18" ht="18" customHeight="1">
      <c r="A186" s="54" t="str">
        <f>'📂 Raw Data'!A186</f>
        <v>EMP1184</v>
      </c>
      <c r="B186" s="16" t="str">
        <f>PROPER(TRIM('📂 Raw Data'!B186))</f>
        <v>Sunita Chopra</v>
      </c>
      <c r="C186" s="16">
        <f>'📂 Raw Data'!C186</f>
        <v>49</v>
      </c>
      <c r="D186" s="16" t="str">
        <f>IF(OR('📂 Raw Data'!D186="M",'📂 Raw Data'!D186="m"),"Male",IF(OR('📂 Raw Data'!D186="F",'📂 Raw Data'!D186="f"),"Female",PROPER('📂 Raw Data'!D186)))</f>
        <v>Male</v>
      </c>
      <c r="E186" s="17" t="str">
        <f>UPPER(TRIM('📂 Raw Data'!E186))</f>
        <v>HR</v>
      </c>
      <c r="F186" s="16" t="str">
        <f>PROPER(TRIM('📂 Raw Data'!F186))</f>
        <v>Hr Executive</v>
      </c>
      <c r="G186" s="16" t="str">
        <f>IFERROR(IF(ISNUMBER('📂 Raw Data'!G186),TEXT('📂 Raw Data'!G186,"DD-MMM-YYYY"),TEXT(DATEVALUE('📂 Raw Data'!G186),"DD-MMM-YYYY")),"Invalid Date")</f>
        <v>21-Nov-2020</v>
      </c>
      <c r="H186" s="16" t="str">
        <f>PROPER(TRIM('📂 Raw Data'!H186))</f>
        <v>Pune</v>
      </c>
      <c r="I186" s="18">
        <f>IFERROR(IF(ISNUMBER('📂 Raw Data'!I186),ABS('📂 Raw Data'!I186),0),0)</f>
        <v>46695</v>
      </c>
      <c r="J186" s="18">
        <f>IFERROR(ABS('📂 Raw Data'!J186),0)</f>
        <v>14492</v>
      </c>
      <c r="K186" s="18">
        <f>IFERROR(ABS('📂 Raw Data'!K186),0)</f>
        <v>12249</v>
      </c>
      <c r="L186" s="18">
        <f>IFERROR(ABS('📂 Raw Data'!L186),0)</f>
        <v>2502</v>
      </c>
      <c r="M186" s="18">
        <f>IFERROR(ABS('📂 Raw Data'!M186),0)</f>
        <v>6947</v>
      </c>
      <c r="N186" s="18">
        <f t="shared" si="2"/>
        <v>82885</v>
      </c>
      <c r="O186" s="16">
        <f>IFERROR(ABS('📂 Raw Data'!O186),0)</f>
        <v>26</v>
      </c>
      <c r="P186" s="20">
        <f>IFERROR(ABS('📂 Raw Data'!P55),0)</f>
        <v>71</v>
      </c>
      <c r="Q186" s="19" t="str">
        <f>'📂 Raw Data'!Q186</f>
        <v>Excellent</v>
      </c>
      <c r="R186" s="55" t="str">
        <f>'📂 Raw Data'!R186</f>
        <v>Active</v>
      </c>
    </row>
    <row r="187" spans="1:18" ht="18" customHeight="1">
      <c r="A187" s="54" t="str">
        <f>'📂 Raw Data'!A187</f>
        <v>EMP1185</v>
      </c>
      <c r="B187" s="16" t="str">
        <f>PROPER(TRIM('📂 Raw Data'!B187))</f>
        <v>Gaurav Verma</v>
      </c>
      <c r="C187" s="16">
        <f>'📂 Raw Data'!C187</f>
        <v>49</v>
      </c>
      <c r="D187" s="16" t="str">
        <f>IF(OR('📂 Raw Data'!D187="M",'📂 Raw Data'!D187="m"),"Male",IF(OR('📂 Raw Data'!D187="F",'📂 Raw Data'!D187="f"),"Female",PROPER('📂 Raw Data'!D187)))</f>
        <v>Male</v>
      </c>
      <c r="E187" s="17" t="str">
        <f>UPPER(TRIM('📂 Raw Data'!E187))</f>
        <v>SALES</v>
      </c>
      <c r="F187" s="16" t="str">
        <f>PROPER(TRIM('📂 Raw Data'!F187))</f>
        <v>Business Dev</v>
      </c>
      <c r="G187" s="16" t="str">
        <f>IFERROR(IF(ISNUMBER('📂 Raw Data'!G187),TEXT('📂 Raw Data'!G187,"DD-MMM-YYYY"),TEXT(DATEVALUE('📂 Raw Data'!G187),"DD-MMM-YYYY")),"Invalid Date")</f>
        <v>19-Mar-2016</v>
      </c>
      <c r="H187" s="16" t="str">
        <f>PROPER(TRIM('📂 Raw Data'!H187))</f>
        <v>Pune</v>
      </c>
      <c r="I187" s="18">
        <f>IFERROR(IF(ISNUMBER('📂 Raw Data'!I187),ABS('📂 Raw Data'!I187),0),0)</f>
        <v>54647</v>
      </c>
      <c r="J187" s="18">
        <f>IFERROR(ABS('📂 Raw Data'!J187),0)</f>
        <v>22071</v>
      </c>
      <c r="K187" s="18">
        <f>IFERROR(ABS('📂 Raw Data'!K187),0)</f>
        <v>9291</v>
      </c>
      <c r="L187" s="18">
        <f>IFERROR(ABS('📂 Raw Data'!L187),0)</f>
        <v>76</v>
      </c>
      <c r="M187" s="18">
        <f>IFERROR(ABS('📂 Raw Data'!M187),0)</f>
        <v>1066</v>
      </c>
      <c r="N187" s="18">
        <f t="shared" si="2"/>
        <v>87151</v>
      </c>
      <c r="O187" s="16">
        <f>IFERROR(ABS('📂 Raw Data'!O187),0)</f>
        <v>26</v>
      </c>
      <c r="P187" s="20">
        <f>IFERROR(ABS('📂 Raw Data'!P56),0)</f>
        <v>57</v>
      </c>
      <c r="Q187" s="19" t="str">
        <f>'📂 Raw Data'!Q187</f>
        <v>Good</v>
      </c>
      <c r="R187" s="55" t="str">
        <f>'📂 Raw Data'!R187</f>
        <v>Active</v>
      </c>
    </row>
    <row r="188" spans="1:18" ht="18" customHeight="1">
      <c r="A188" s="54" t="str">
        <f>'📂 Raw Data'!A188</f>
        <v>EMP1186</v>
      </c>
      <c r="B188" s="16" t="str">
        <f>PROPER(TRIM('📂 Raw Data'!B188))</f>
        <v>Esha Gupta</v>
      </c>
      <c r="C188" s="16">
        <f>'📂 Raw Data'!C188</f>
        <v>26</v>
      </c>
      <c r="D188" s="16" t="str">
        <f>IF(OR('📂 Raw Data'!D188="M",'📂 Raw Data'!D188="m"),"Male",IF(OR('📂 Raw Data'!D188="F",'📂 Raw Data'!D188="f"),"Female",PROPER('📂 Raw Data'!D188)))</f>
        <v>Male</v>
      </c>
      <c r="E188" s="17" t="str">
        <f>UPPER(TRIM('📂 Raw Data'!E188))</f>
        <v>FINANCE</v>
      </c>
      <c r="F188" s="16" t="str">
        <f>PROPER(TRIM('📂 Raw Data'!F188))</f>
        <v>Accountant</v>
      </c>
      <c r="G188" s="16" t="str">
        <f>IFERROR(IF(ISNUMBER('📂 Raw Data'!G188),TEXT('📂 Raw Data'!G188,"DD-MMM-YYYY"),TEXT(DATEVALUE('📂 Raw Data'!G188),"DD-MMM-YYYY")),"Invalid Date")</f>
        <v>11-Feb-2016</v>
      </c>
      <c r="H188" s="16" t="str">
        <f>PROPER(TRIM('📂 Raw Data'!H188))</f>
        <v>Hyderabad</v>
      </c>
      <c r="I188" s="18">
        <f>IFERROR(IF(ISNUMBER('📂 Raw Data'!I188),ABS('📂 Raw Data'!I188),0),0)</f>
        <v>73177</v>
      </c>
      <c r="J188" s="18">
        <f>IFERROR(ABS('📂 Raw Data'!J188),0)</f>
        <v>34847</v>
      </c>
      <c r="K188" s="18">
        <f>IFERROR(ABS('📂 Raw Data'!K188),0)</f>
        <v>4246</v>
      </c>
      <c r="L188" s="18">
        <f>IFERROR(ABS('📂 Raw Data'!L188),0)</f>
        <v>3135</v>
      </c>
      <c r="M188" s="18">
        <f>IFERROR(ABS('📂 Raw Data'!M188),0)</f>
        <v>7336</v>
      </c>
      <c r="N188" s="18">
        <f t="shared" si="2"/>
        <v>122741</v>
      </c>
      <c r="O188" s="16">
        <f>IFERROR(ABS('📂 Raw Data'!O188),0)</f>
        <v>17</v>
      </c>
      <c r="P188" s="20">
        <f>IFERROR(ABS('📂 Raw Data'!P57),0)</f>
        <v>64</v>
      </c>
      <c r="Q188" s="19" t="str">
        <f>'📂 Raw Data'!Q188</f>
        <v>Good</v>
      </c>
      <c r="R188" s="55" t="str">
        <f>'📂 Raw Data'!R188</f>
        <v>Resigned</v>
      </c>
    </row>
    <row r="189" spans="1:18" ht="18" customHeight="1">
      <c r="A189" s="54" t="str">
        <f>'📂 Raw Data'!A189</f>
        <v>EMP1187</v>
      </c>
      <c r="B189" s="16" t="str">
        <f>PROPER(TRIM('📂 Raw Data'!B189))</f>
        <v>Kavita Kumar</v>
      </c>
      <c r="C189" s="16">
        <f>'📂 Raw Data'!C189</f>
        <v>30</v>
      </c>
      <c r="D189" s="16" t="str">
        <f>IF(OR('📂 Raw Data'!D189="M",'📂 Raw Data'!D189="m"),"Male",IF(OR('📂 Raw Data'!D189="F",'📂 Raw Data'!D189="f"),"Female",PROPER('📂 Raw Data'!D189)))</f>
        <v>Male</v>
      </c>
      <c r="E189" s="17" t="str">
        <f>UPPER(TRIM('📂 Raw Data'!E189))</f>
        <v>FINANCE</v>
      </c>
      <c r="F189" s="16" t="str">
        <f>PROPER(TRIM('📂 Raw Data'!F189))</f>
        <v>Finance Manager</v>
      </c>
      <c r="G189" s="16" t="str">
        <f>IFERROR(IF(ISNUMBER('📂 Raw Data'!G189),TEXT('📂 Raw Data'!G189,"DD-MMM-YYYY"),TEXT(DATEVALUE('📂 Raw Data'!G189),"DD-MMM-YYYY")),"Invalid Date")</f>
        <v>24-Nov-2018</v>
      </c>
      <c r="H189" s="16" t="str">
        <f>PROPER(TRIM('📂 Raw Data'!H189))</f>
        <v>Kolkata</v>
      </c>
      <c r="I189" s="18">
        <f>IFERROR(IF(ISNUMBER('📂 Raw Data'!I189),ABS('📂 Raw Data'!I189),0),0)</f>
        <v>44840</v>
      </c>
      <c r="J189" s="18">
        <f>IFERROR(ABS('📂 Raw Data'!J189),0)</f>
        <v>21702</v>
      </c>
      <c r="K189" s="18">
        <f>IFERROR(ABS('📂 Raw Data'!K189),0)</f>
        <v>12093</v>
      </c>
      <c r="L189" s="18">
        <f>IFERROR(ABS('📂 Raw Data'!L189),0)</f>
        <v>5624</v>
      </c>
      <c r="M189" s="18">
        <f>IFERROR(ABS('📂 Raw Data'!M189),0)</f>
        <v>4624</v>
      </c>
      <c r="N189" s="18">
        <f t="shared" si="2"/>
        <v>88883</v>
      </c>
      <c r="O189" s="16">
        <f>IFERROR(ABS('📂 Raw Data'!O189),0)</f>
        <v>18</v>
      </c>
      <c r="P189" s="20">
        <f>IFERROR(ABS('📂 Raw Data'!P58),0)</f>
        <v>49</v>
      </c>
      <c r="Q189" s="19" t="str">
        <f>'📂 Raw Data'!Q189</f>
        <v>Below Average</v>
      </c>
      <c r="R189" s="55" t="str">
        <f>'📂 Raw Data'!R189</f>
        <v>Active</v>
      </c>
    </row>
    <row r="190" spans="1:18" ht="18" customHeight="1">
      <c r="A190" s="54" t="str">
        <f>'📂 Raw Data'!A190</f>
        <v>EMP1188</v>
      </c>
      <c r="B190" s="16" t="str">
        <f>PROPER(TRIM('📂 Raw Data'!B190))</f>
        <v>Arjun Qadir</v>
      </c>
      <c r="C190" s="16">
        <f>'📂 Raw Data'!C190</f>
        <v>23</v>
      </c>
      <c r="D190" s="16" t="str">
        <f>IF(OR('📂 Raw Data'!D190="M",'📂 Raw Data'!D190="m"),"Male",IF(OR('📂 Raw Data'!D190="F",'📂 Raw Data'!D190="f"),"Female",PROPER('📂 Raw Data'!D190)))</f>
        <v>Female</v>
      </c>
      <c r="E190" s="17" t="str">
        <f>UPPER(TRIM('📂 Raw Data'!E190))</f>
        <v>HR</v>
      </c>
      <c r="F190" s="16" t="str">
        <f>PROPER(TRIM('📂 Raw Data'!F190))</f>
        <v>Training Coordinator</v>
      </c>
      <c r="G190" s="16" t="str">
        <f>IFERROR(IF(ISNUMBER('📂 Raw Data'!G190),TEXT('📂 Raw Data'!G190,"DD-MMM-YYYY"),TEXT(DATEVALUE('📂 Raw Data'!G190),"DD-MMM-YYYY")),"Invalid Date")</f>
        <v>08-Mar-2020</v>
      </c>
      <c r="H190" s="16" t="str">
        <f>PROPER(TRIM('📂 Raw Data'!H190))</f>
        <v>Kolkata</v>
      </c>
      <c r="I190" s="18">
        <f>IFERROR(IF(ISNUMBER('📂 Raw Data'!I190),ABS('📂 Raw Data'!I190),0),0)</f>
        <v>61302</v>
      </c>
      <c r="J190" s="18">
        <f>IFERROR(ABS('📂 Raw Data'!J190),0)</f>
        <v>26294</v>
      </c>
      <c r="K190" s="18">
        <f>IFERROR(ABS('📂 Raw Data'!K190),0)</f>
        <v>6065</v>
      </c>
      <c r="L190" s="18">
        <f>IFERROR(ABS('📂 Raw Data'!L190),0)</f>
        <v>4533</v>
      </c>
      <c r="M190" s="18">
        <f>IFERROR(ABS('📂 Raw Data'!M190),0)</f>
        <v>5923</v>
      </c>
      <c r="N190" s="18">
        <f t="shared" si="2"/>
        <v>104117</v>
      </c>
      <c r="O190" s="16">
        <f>IFERROR(ABS('📂 Raw Data'!O190),0)</f>
        <v>24</v>
      </c>
      <c r="P190" s="20">
        <f>IFERROR(ABS('📂 Raw Data'!P59),0)</f>
        <v>70</v>
      </c>
      <c r="Q190" s="19" t="str">
        <f>'📂 Raw Data'!Q190</f>
        <v>Poor</v>
      </c>
      <c r="R190" s="55" t="str">
        <f>'📂 Raw Data'!R190</f>
        <v>On Leave</v>
      </c>
    </row>
    <row r="191" spans="1:18" ht="18" customHeight="1">
      <c r="A191" s="54" t="str">
        <f>'📂 Raw Data'!A191</f>
        <v>EMP1189</v>
      </c>
      <c r="B191" s="16" t="str">
        <f>PROPER(TRIM('📂 Raw Data'!B191))</f>
        <v>Tarun Joshi</v>
      </c>
      <c r="C191" s="16">
        <f>'📂 Raw Data'!C191</f>
        <v>26</v>
      </c>
      <c r="D191" s="16" t="str">
        <f>IF(OR('📂 Raw Data'!D191="M",'📂 Raw Data'!D191="m"),"Male",IF(OR('📂 Raw Data'!D191="F",'📂 Raw Data'!D191="f"),"Female",PROPER('📂 Raw Data'!D191)))</f>
        <v>Female</v>
      </c>
      <c r="E191" s="17" t="str">
        <f>UPPER(TRIM('📂 Raw Data'!E191))</f>
        <v>MARKETING</v>
      </c>
      <c r="F191" s="16" t="str">
        <f>PROPER(TRIM('📂 Raw Data'!F191))</f>
        <v>Content Writer</v>
      </c>
      <c r="G191" s="16" t="str">
        <f>IFERROR(IF(ISNUMBER('📂 Raw Data'!G191),TEXT('📂 Raw Data'!G191,"DD-MMM-YYYY"),TEXT(DATEVALUE('📂 Raw Data'!G191),"DD-MMM-YYYY")),"Invalid Date")</f>
        <v>21-May-2021</v>
      </c>
      <c r="H191" s="16" t="str">
        <f>PROPER(TRIM('📂 Raw Data'!H191))</f>
        <v>Hyderabad</v>
      </c>
      <c r="I191" s="18">
        <f>IFERROR(IF(ISNUMBER('📂 Raw Data'!I191),ABS('📂 Raw Data'!I191),0),0)</f>
        <v>32152</v>
      </c>
      <c r="J191" s="18">
        <f>IFERROR(ABS('📂 Raw Data'!J191),0)</f>
        <v>14686</v>
      </c>
      <c r="K191" s="18">
        <f>IFERROR(ABS('📂 Raw Data'!K191),0)</f>
        <v>5921</v>
      </c>
      <c r="L191" s="18">
        <f>IFERROR(ABS('📂 Raw Data'!L191),0)</f>
        <v>4054</v>
      </c>
      <c r="M191" s="18">
        <f>IFERROR(ABS('📂 Raw Data'!M191),0)</f>
        <v>4161</v>
      </c>
      <c r="N191" s="18">
        <f t="shared" si="2"/>
        <v>60974</v>
      </c>
      <c r="O191" s="16">
        <f>IFERROR(ABS('📂 Raw Data'!O191),0)</f>
        <v>16</v>
      </c>
      <c r="P191" s="20">
        <f>IFERROR(ABS('📂 Raw Data'!P60),0)</f>
        <v>80</v>
      </c>
      <c r="Q191" s="19" t="str">
        <f>'📂 Raw Data'!Q191</f>
        <v>Good</v>
      </c>
      <c r="R191" s="55" t="str">
        <f>'📂 Raw Data'!R191</f>
        <v>Active</v>
      </c>
    </row>
    <row r="192" spans="1:18" ht="18" customHeight="1">
      <c r="A192" s="54" t="str">
        <f>'📂 Raw Data'!A192</f>
        <v>EMP1190</v>
      </c>
      <c r="B192" s="16" t="str">
        <f>PROPER(TRIM('📂 Raw Data'!B192))</f>
        <v>Isha Agarwal</v>
      </c>
      <c r="C192" s="16">
        <f>'📂 Raw Data'!C192</f>
        <v>38</v>
      </c>
      <c r="D192" s="16" t="str">
        <f>IF(OR('📂 Raw Data'!D192="M",'📂 Raw Data'!D192="m"),"Male",IF(OR('📂 Raw Data'!D192="F",'📂 Raw Data'!D192="f"),"Female",PROPER('📂 Raw Data'!D192)))</f>
        <v>Male</v>
      </c>
      <c r="E192" s="17" t="str">
        <f>UPPER(TRIM('📂 Raw Data'!E192))</f>
        <v>FINANCE</v>
      </c>
      <c r="F192" s="16" t="str">
        <f>PROPER(TRIM('📂 Raw Data'!F192))</f>
        <v>Auditor</v>
      </c>
      <c r="G192" s="16" t="str">
        <f>IFERROR(IF(ISNUMBER('📂 Raw Data'!G192),TEXT('📂 Raw Data'!G192,"DD-MMM-YYYY"),TEXT(DATEVALUE('📂 Raw Data'!G192),"DD-MMM-YYYY")),"Invalid Date")</f>
        <v>22-Sep-2020</v>
      </c>
      <c r="H192" s="16" t="str">
        <f>PROPER(TRIM('📂 Raw Data'!H192))</f>
        <v>Delhi</v>
      </c>
      <c r="I192" s="18">
        <f>IFERROR(IF(ISNUMBER('📂 Raw Data'!I192),ABS('📂 Raw Data'!I192),0),0)</f>
        <v>47645</v>
      </c>
      <c r="J192" s="18">
        <f>IFERROR(ABS('📂 Raw Data'!J192),0)</f>
        <v>21562</v>
      </c>
      <c r="K192" s="18">
        <f>IFERROR(ABS('📂 Raw Data'!K192),0)</f>
        <v>14621</v>
      </c>
      <c r="L192" s="18">
        <f>IFERROR(ABS('📂 Raw Data'!L192),0)</f>
        <v>597</v>
      </c>
      <c r="M192" s="18">
        <f>IFERROR(ABS('📂 Raw Data'!M192),0)</f>
        <v>1136</v>
      </c>
      <c r="N192" s="18">
        <f t="shared" si="2"/>
        <v>85561</v>
      </c>
      <c r="O192" s="16">
        <f>IFERROR(ABS('📂 Raw Data'!O192),0)</f>
        <v>24</v>
      </c>
      <c r="P192" s="20">
        <f>IFERROR(ABS('📂 Raw Data'!P61),0)</f>
        <v>49</v>
      </c>
      <c r="Q192" s="19" t="str">
        <f>'📂 Raw Data'!Q192</f>
        <v>Below Average</v>
      </c>
      <c r="R192" s="55" t="str">
        <f>'📂 Raw Data'!R192</f>
        <v>Active</v>
      </c>
    </row>
    <row r="193" spans="1:18" ht="18" customHeight="1">
      <c r="A193" s="54" t="str">
        <f>'📂 Raw Data'!A193</f>
        <v>EMP1191</v>
      </c>
      <c r="B193" s="16" t="str">
        <f>PROPER(TRIM('📂 Raw Data'!B193))</f>
        <v>Arun Qadir</v>
      </c>
      <c r="C193" s="16">
        <f>'📂 Raw Data'!C193</f>
        <v>27</v>
      </c>
      <c r="D193" s="16" t="str">
        <f>IF(OR('📂 Raw Data'!D193="M",'📂 Raw Data'!D193="m"),"Male",IF(OR('📂 Raw Data'!D193="F",'📂 Raw Data'!D193="f"),"Female",PROPER('📂 Raw Data'!D193)))</f>
        <v>Female</v>
      </c>
      <c r="E193" s="17" t="str">
        <f>UPPER(TRIM('📂 Raw Data'!E193))</f>
        <v>MARKETING</v>
      </c>
      <c r="F193" s="16" t="str">
        <f>PROPER(TRIM('📂 Raw Data'!F193))</f>
        <v>Seo Specialist</v>
      </c>
      <c r="G193" s="16" t="str">
        <f>IFERROR(IF(ISNUMBER('📂 Raw Data'!G193),TEXT('📂 Raw Data'!G193,"DD-MMM-YYYY"),TEXT(DATEVALUE('📂 Raw Data'!G193),"DD-MMM-YYYY")),"Invalid Date")</f>
        <v>14-Jul-2023</v>
      </c>
      <c r="H193" s="16" t="str">
        <f>PROPER(TRIM('📂 Raw Data'!H193))</f>
        <v>Bangalore</v>
      </c>
      <c r="I193" s="18">
        <f>IFERROR(IF(ISNUMBER('📂 Raw Data'!I193),ABS('📂 Raw Data'!I193),0),0)</f>
        <v>116987</v>
      </c>
      <c r="J193" s="18">
        <f>IFERROR(ABS('📂 Raw Data'!J193),0)</f>
        <v>44508</v>
      </c>
      <c r="K193" s="18">
        <f>IFERROR(ABS('📂 Raw Data'!K193),0)</f>
        <v>12494</v>
      </c>
      <c r="L193" s="18">
        <f>IFERROR(ABS('📂 Raw Data'!L193),0)</f>
        <v>4395</v>
      </c>
      <c r="M193" s="18">
        <f>IFERROR(ABS('📂 Raw Data'!M193),0)</f>
        <v>5404</v>
      </c>
      <c r="N193" s="18">
        <f t="shared" si="2"/>
        <v>183788</v>
      </c>
      <c r="O193" s="16">
        <f>IFERROR(ABS('📂 Raw Data'!O193),0)</f>
        <v>24</v>
      </c>
      <c r="P193" s="20">
        <f>IFERROR(ABS('📂 Raw Data'!P62),0)</f>
        <v>54</v>
      </c>
      <c r="Q193" s="19" t="str">
        <f>'📂 Raw Data'!Q193</f>
        <v>Good</v>
      </c>
      <c r="R193" s="55" t="str">
        <f>'📂 Raw Data'!R193</f>
        <v>Active</v>
      </c>
    </row>
    <row r="194" spans="1:18" ht="18" customHeight="1">
      <c r="A194" s="54" t="str">
        <f>'📂 Raw Data'!A194</f>
        <v>EMP1192</v>
      </c>
      <c r="B194" s="16" t="str">
        <f>PROPER(TRIM('📂 Raw Data'!B194))</f>
        <v>Zara Dixit</v>
      </c>
      <c r="C194" s="16">
        <f>'📂 Raw Data'!C194</f>
        <v>25</v>
      </c>
      <c r="D194" s="16" t="str">
        <f>IF(OR('📂 Raw Data'!D194="M",'📂 Raw Data'!D194="m"),"Male",IF(OR('📂 Raw Data'!D194="F",'📂 Raw Data'!D194="f"),"Female",PROPER('📂 Raw Data'!D194)))</f>
        <v>Male</v>
      </c>
      <c r="E194" s="17" t="str">
        <f>UPPER(TRIM('📂 Raw Data'!E194))</f>
        <v>MARKETING</v>
      </c>
      <c r="F194" s="16" t="str">
        <f>PROPER(TRIM('📂 Raw Data'!F194))</f>
        <v>Seo Specialist</v>
      </c>
      <c r="G194" s="16" t="str">
        <f>IFERROR(IF(ISNUMBER('📂 Raw Data'!G194),TEXT('📂 Raw Data'!G194,"DD-MMM-YYYY"),TEXT(DATEVALUE('📂 Raw Data'!G194),"DD-MMM-YYYY")),"Invalid Date")</f>
        <v>21-Oct-2021</v>
      </c>
      <c r="H194" s="16" t="str">
        <f>PROPER(TRIM('📂 Raw Data'!H194))</f>
        <v>Delhi</v>
      </c>
      <c r="I194" s="18">
        <f>IFERROR(IF(ISNUMBER('📂 Raw Data'!I194),ABS('📂 Raw Data'!I194),0),0)</f>
        <v>110175</v>
      </c>
      <c r="J194" s="18">
        <f>IFERROR(ABS('📂 Raw Data'!J194),0)</f>
        <v>48060</v>
      </c>
      <c r="K194" s="18">
        <f>IFERROR(ABS('📂 Raw Data'!K194),0)</f>
        <v>3083</v>
      </c>
      <c r="L194" s="18">
        <f>IFERROR(ABS('📂 Raw Data'!L194),0)</f>
        <v>2540</v>
      </c>
      <c r="M194" s="18">
        <f>IFERROR(ABS('📂 Raw Data'!M194),0)</f>
        <v>6723</v>
      </c>
      <c r="N194" s="18">
        <f t="shared" si="2"/>
        <v>170581</v>
      </c>
      <c r="O194" s="16">
        <f>IFERROR(ABS('📂 Raw Data'!O194),0)</f>
        <v>21</v>
      </c>
      <c r="P194" s="20">
        <f>IFERROR(ABS('📂 Raw Data'!P63),0)</f>
        <v>94</v>
      </c>
      <c r="Q194" s="19" t="str">
        <f>'📂 Raw Data'!Q194</f>
        <v>Below Average</v>
      </c>
      <c r="R194" s="55" t="str">
        <f>'📂 Raw Data'!R194</f>
        <v>Active</v>
      </c>
    </row>
    <row r="195" spans="1:18" ht="18" customHeight="1">
      <c r="A195" s="54" t="str">
        <f>'📂 Raw Data'!A195</f>
        <v>EMP1193</v>
      </c>
      <c r="B195" s="16" t="str">
        <f>PROPER(TRIM('📂 Raw Data'!B195))</f>
        <v>Jay Naik</v>
      </c>
      <c r="C195" s="16">
        <f>'📂 Raw Data'!C195</f>
        <v>32</v>
      </c>
      <c r="D195" s="16" t="str">
        <f>IF(OR('📂 Raw Data'!D195="M",'📂 Raw Data'!D195="m"),"Male",IF(OR('📂 Raw Data'!D195="F",'📂 Raw Data'!D195="f"),"Female",PROPER('📂 Raw Data'!D195)))</f>
        <v>Male</v>
      </c>
      <c r="E195" s="17" t="str">
        <f>UPPER(TRIM('📂 Raw Data'!E195))</f>
        <v>MARKETING</v>
      </c>
      <c r="F195" s="16" t="str">
        <f>PROPER(TRIM('📂 Raw Data'!F195))</f>
        <v>Marketing Executive</v>
      </c>
      <c r="G195" s="16" t="str">
        <f>IFERROR(IF(ISNUMBER('📂 Raw Data'!G195),TEXT('📂 Raw Data'!G195,"DD-MMM-YYYY"),TEXT(DATEVALUE('📂 Raw Data'!G195),"DD-MMM-YYYY")),"Invalid Date")</f>
        <v>24-Nov-2019</v>
      </c>
      <c r="H195" s="16" t="str">
        <f>PROPER(TRIM('📂 Raw Data'!H195))</f>
        <v>Chennai</v>
      </c>
      <c r="I195" s="18">
        <f>IFERROR(IF(ISNUMBER('📂 Raw Data'!I195),ABS('📂 Raw Data'!I195),0),0)</f>
        <v>111252</v>
      </c>
      <c r="J195" s="18">
        <f>IFERROR(ABS('📂 Raw Data'!J195),0)</f>
        <v>49856</v>
      </c>
      <c r="K195" s="18">
        <f>IFERROR(ABS('📂 Raw Data'!K195),0)</f>
        <v>3956</v>
      </c>
      <c r="L195" s="18">
        <f>IFERROR(ABS('📂 Raw Data'!L195),0)</f>
        <v>103</v>
      </c>
      <c r="M195" s="18">
        <f>IFERROR(ABS('📂 Raw Data'!M195),0)</f>
        <v>6799</v>
      </c>
      <c r="N195" s="18">
        <f t="shared" si="2"/>
        <v>171966</v>
      </c>
      <c r="O195" s="16">
        <f>IFERROR(ABS('📂 Raw Data'!O195),0)</f>
        <v>17</v>
      </c>
      <c r="P195" s="20">
        <f>IFERROR(ABS('📂 Raw Data'!P64),0)</f>
        <v>76</v>
      </c>
      <c r="Q195" s="19" t="str">
        <f>'📂 Raw Data'!Q195</f>
        <v>Average</v>
      </c>
      <c r="R195" s="55" t="str">
        <f>'📂 Raw Data'!R195</f>
        <v>Active</v>
      </c>
    </row>
    <row r="196" spans="1:18" ht="18" customHeight="1">
      <c r="A196" s="54" t="str">
        <f>'📂 Raw Data'!A196</f>
        <v>EMP1194</v>
      </c>
      <c r="B196" s="16" t="str">
        <f>PROPER(TRIM('📂 Raw Data'!B196))</f>
        <v>Anjali Patel</v>
      </c>
      <c r="C196" s="16">
        <f>'📂 Raw Data'!C196</f>
        <v>39</v>
      </c>
      <c r="D196" s="16" t="str">
        <f>IF(OR('📂 Raw Data'!D196="M",'📂 Raw Data'!D196="m"),"Male",IF(OR('📂 Raw Data'!D196="F",'📂 Raw Data'!D196="f"),"Female",PROPER('📂 Raw Data'!D196)))</f>
        <v>Female</v>
      </c>
      <c r="E196" s="17" t="str">
        <f>UPPER(TRIM('📂 Raw Data'!E196))</f>
        <v>SALES</v>
      </c>
      <c r="F196" s="16" t="str">
        <f>PROPER(TRIM('📂 Raw Data'!F196))</f>
        <v>Sales Manager</v>
      </c>
      <c r="G196" s="16" t="str">
        <f>IFERROR(IF(ISNUMBER('📂 Raw Data'!G196),TEXT('📂 Raw Data'!G196,"DD-MMM-YYYY"),TEXT(DATEVALUE('📂 Raw Data'!G196),"DD-MMM-YYYY")),"Invalid Date")</f>
        <v>25-Dec-2017</v>
      </c>
      <c r="H196" s="16" t="str">
        <f>PROPER(TRIM('📂 Raw Data'!H196))</f>
        <v>Hyderabad</v>
      </c>
      <c r="I196" s="18">
        <f>IFERROR(IF(ISNUMBER('📂 Raw Data'!I196),ABS('📂 Raw Data'!I196),0),0)</f>
        <v>60227</v>
      </c>
      <c r="J196" s="18">
        <f>IFERROR(ABS('📂 Raw Data'!J196),0)</f>
        <v>26897</v>
      </c>
      <c r="K196" s="18">
        <f>IFERROR(ABS('📂 Raw Data'!K196),0)</f>
        <v>3934</v>
      </c>
      <c r="L196" s="18">
        <f>IFERROR(ABS('📂 Raw Data'!L196),0)</f>
        <v>6319</v>
      </c>
      <c r="M196" s="18">
        <f>IFERROR(ABS('📂 Raw Data'!M196),0)</f>
        <v>1240</v>
      </c>
      <c r="N196" s="18">
        <f t="shared" ref="N196:N259" si="3">SUM(M196,L196,K196,J196,I196,)</f>
        <v>98617</v>
      </c>
      <c r="O196" s="16">
        <f>IFERROR(ABS('📂 Raw Data'!O196),0)</f>
        <v>20</v>
      </c>
      <c r="P196" s="20">
        <f>IFERROR(ABS('📂 Raw Data'!P65),0)</f>
        <v>83</v>
      </c>
      <c r="Q196" s="19" t="str">
        <f>'📂 Raw Data'!Q196</f>
        <v>Poor</v>
      </c>
      <c r="R196" s="55" t="str">
        <f>'📂 Raw Data'!R196</f>
        <v>Active</v>
      </c>
    </row>
    <row r="197" spans="1:18" ht="18" customHeight="1">
      <c r="A197" s="54" t="str">
        <f>'📂 Raw Data'!A197</f>
        <v>EMP1195</v>
      </c>
      <c r="B197" s="16" t="str">
        <f>PROPER(TRIM('📂 Raw Data'!B197))</f>
        <v>Arun Walia</v>
      </c>
      <c r="C197" s="16">
        <f>'📂 Raw Data'!C197</f>
        <v>29</v>
      </c>
      <c r="D197" s="16" t="str">
        <f>IF(OR('📂 Raw Data'!D197="M",'📂 Raw Data'!D197="m"),"Male",IF(OR('📂 Raw Data'!D197="F",'📂 Raw Data'!D197="f"),"Female",PROPER('📂 Raw Data'!D197)))</f>
        <v>Male</v>
      </c>
      <c r="E197" s="17" t="str">
        <f>UPPER(TRIM('📂 Raw Data'!E197))</f>
        <v>OPERATIONS</v>
      </c>
      <c r="F197" s="16" t="str">
        <f>PROPER(TRIM('📂 Raw Data'!F197))</f>
        <v>Operations Executive</v>
      </c>
      <c r="G197" s="16" t="str">
        <f>IFERROR(IF(ISNUMBER('📂 Raw Data'!G197),TEXT('📂 Raw Data'!G197,"DD-MMM-YYYY"),TEXT(DATEVALUE('📂 Raw Data'!G197),"DD-MMM-YYYY")),"Invalid Date")</f>
        <v>17-Aug-2022</v>
      </c>
      <c r="H197" s="16" t="str">
        <f>PROPER(TRIM('📂 Raw Data'!H197))</f>
        <v>Delhi</v>
      </c>
      <c r="I197" s="18">
        <f>IFERROR(IF(ISNUMBER('📂 Raw Data'!I197),ABS('📂 Raw Data'!I197),0),0)</f>
        <v>72202</v>
      </c>
      <c r="J197" s="18">
        <f>IFERROR(ABS('📂 Raw Data'!J197),0)</f>
        <v>22461</v>
      </c>
      <c r="K197" s="18">
        <f>IFERROR(ABS('📂 Raw Data'!K197),0)</f>
        <v>11287</v>
      </c>
      <c r="L197" s="18">
        <f>IFERROR(ABS('📂 Raw Data'!L197),0)</f>
        <v>1367</v>
      </c>
      <c r="M197" s="18">
        <f>IFERROR(ABS('📂 Raw Data'!M197),0)</f>
        <v>4012</v>
      </c>
      <c r="N197" s="18">
        <f t="shared" si="3"/>
        <v>111329</v>
      </c>
      <c r="O197" s="16">
        <f>IFERROR(ABS('📂 Raw Data'!O197),0)</f>
        <v>17</v>
      </c>
      <c r="P197" s="20">
        <f>IFERROR(ABS('📂 Raw Data'!P66),0)</f>
        <v>96</v>
      </c>
      <c r="Q197" s="19" t="str">
        <f>'📂 Raw Data'!Q197</f>
        <v>Excellent</v>
      </c>
      <c r="R197" s="55" t="str">
        <f>'📂 Raw Data'!R197</f>
        <v>On Leave</v>
      </c>
    </row>
    <row r="198" spans="1:18" ht="18" customHeight="1">
      <c r="A198" s="54" t="str">
        <f>'📂 Raw Data'!A198</f>
        <v>EMP1196</v>
      </c>
      <c r="B198" s="16" t="str">
        <f>PROPER(TRIM('📂 Raw Data'!B198))</f>
        <v>Aarav Kumar</v>
      </c>
      <c r="C198" s="16">
        <f>'📂 Raw Data'!C198</f>
        <v>36</v>
      </c>
      <c r="D198" s="16" t="str">
        <f>IF(OR('📂 Raw Data'!D198="M",'📂 Raw Data'!D198="m"),"Male",IF(OR('📂 Raw Data'!D198="F",'📂 Raw Data'!D198="f"),"Female",PROPER('📂 Raw Data'!D198)))</f>
        <v>Female</v>
      </c>
      <c r="E198" s="17" t="str">
        <f>UPPER(TRIM('📂 Raw Data'!E198))</f>
        <v>ENGINEERING</v>
      </c>
      <c r="F198" s="16" t="str">
        <f>PROPER(TRIM('📂 Raw Data'!F198))</f>
        <v>Senior Engineer</v>
      </c>
      <c r="G198" s="16" t="str">
        <f>IFERROR(IF(ISNUMBER('📂 Raw Data'!G198),TEXT('📂 Raw Data'!G198,"DD-MMM-YYYY"),TEXT(DATEVALUE('📂 Raw Data'!G198),"DD-MMM-YYYY")),"Invalid Date")</f>
        <v>12-Aug-2015</v>
      </c>
      <c r="H198" s="16" t="str">
        <f>PROPER(TRIM('📂 Raw Data'!H198))</f>
        <v>Bangalore</v>
      </c>
      <c r="I198" s="18">
        <f>IFERROR(IF(ISNUMBER('📂 Raw Data'!I198),ABS('📂 Raw Data'!I198),0),0)</f>
        <v>75197</v>
      </c>
      <c r="J198" s="18">
        <f>IFERROR(ABS('📂 Raw Data'!J198),0)</f>
        <v>36399</v>
      </c>
      <c r="K198" s="18">
        <f>IFERROR(ABS('📂 Raw Data'!K198),0)</f>
        <v>4932</v>
      </c>
      <c r="L198" s="18">
        <f>IFERROR(ABS('📂 Raw Data'!L198),0)</f>
        <v>7628</v>
      </c>
      <c r="M198" s="18">
        <f>IFERROR(ABS('📂 Raw Data'!M198),0)</f>
        <v>1289</v>
      </c>
      <c r="N198" s="18">
        <f t="shared" si="3"/>
        <v>125445</v>
      </c>
      <c r="O198" s="16">
        <f>IFERROR(ABS('📂 Raw Data'!O198),0)</f>
        <v>23</v>
      </c>
      <c r="P198" s="20">
        <f>IFERROR(ABS('📂 Raw Data'!P67),0)</f>
        <v>83</v>
      </c>
      <c r="Q198" s="19" t="str">
        <f>'📂 Raw Data'!Q198</f>
        <v>Average</v>
      </c>
      <c r="R198" s="55" t="str">
        <f>'📂 Raw Data'!R198</f>
        <v>Active</v>
      </c>
    </row>
    <row r="199" spans="1:18" ht="18" customHeight="1">
      <c r="A199" s="54" t="str">
        <f>'📂 Raw Data'!A199</f>
        <v>EMP1197</v>
      </c>
      <c r="B199" s="16" t="str">
        <f>PROPER(TRIM('📂 Raw Data'!B199))</f>
        <v>Lokesh Ghosh</v>
      </c>
      <c r="C199" s="16">
        <f>'📂 Raw Data'!C199</f>
        <v>26</v>
      </c>
      <c r="D199" s="16" t="str">
        <f>IF(OR('📂 Raw Data'!D199="M",'📂 Raw Data'!D199="m"),"Male",IF(OR('📂 Raw Data'!D199="F",'📂 Raw Data'!D199="f"),"Female",PROPER('📂 Raw Data'!D199)))</f>
        <v>Female</v>
      </c>
      <c r="E199" s="17" t="str">
        <f>UPPER(TRIM('📂 Raw Data'!E199))</f>
        <v>HR</v>
      </c>
      <c r="F199" s="16" t="str">
        <f>PROPER(TRIM('📂 Raw Data'!F199))</f>
        <v>Hr Executive</v>
      </c>
      <c r="G199" s="16" t="str">
        <f>IFERROR(IF(ISNUMBER('📂 Raw Data'!G199),TEXT('📂 Raw Data'!G199,"DD-MMM-YYYY"),TEXT(DATEVALUE('📂 Raw Data'!G199),"DD-MMM-YYYY")),"Invalid Date")</f>
        <v>17-Feb-2020</v>
      </c>
      <c r="H199" s="16" t="str">
        <f>PROPER(TRIM('📂 Raw Data'!H199))</f>
        <v>Chennai</v>
      </c>
      <c r="I199" s="18">
        <f>IFERROR(IF(ISNUMBER('📂 Raw Data'!I199),ABS('📂 Raw Data'!I199),0),0)</f>
        <v>113254</v>
      </c>
      <c r="J199" s="18">
        <f>IFERROR(ABS('📂 Raw Data'!J199),0)</f>
        <v>54406</v>
      </c>
      <c r="K199" s="18">
        <f>IFERROR(ABS('📂 Raw Data'!K199),0)</f>
        <v>4938</v>
      </c>
      <c r="L199" s="18">
        <f>IFERROR(ABS('📂 Raw Data'!L199),0)</f>
        <v>1828</v>
      </c>
      <c r="M199" s="18">
        <f>IFERROR(ABS('📂 Raw Data'!M199),0)</f>
        <v>7589</v>
      </c>
      <c r="N199" s="18">
        <f t="shared" si="3"/>
        <v>182015</v>
      </c>
      <c r="O199" s="16">
        <f>IFERROR(ABS('📂 Raw Data'!O199),0)</f>
        <v>23</v>
      </c>
      <c r="P199" s="20">
        <f>IFERROR(ABS('📂 Raw Data'!P68),0)</f>
        <v>46</v>
      </c>
      <c r="Q199" s="19" t="str">
        <f>'📂 Raw Data'!Q199</f>
        <v>Average</v>
      </c>
      <c r="R199" s="55" t="str">
        <f>'📂 Raw Data'!R199</f>
        <v>Active</v>
      </c>
    </row>
    <row r="200" spans="1:18" ht="18" customHeight="1">
      <c r="A200" s="54" t="str">
        <f>'📂 Raw Data'!A200</f>
        <v>EMP1198</v>
      </c>
      <c r="B200" s="16" t="str">
        <f>PROPER(TRIM('📂 Raw Data'!B200))</f>
        <v>Chirag Reddy</v>
      </c>
      <c r="C200" s="16">
        <f>'📂 Raw Data'!C200</f>
        <v>53</v>
      </c>
      <c r="D200" s="16" t="str">
        <f>IF(OR('📂 Raw Data'!D200="M",'📂 Raw Data'!D200="m"),"Male",IF(OR('📂 Raw Data'!D200="F",'📂 Raw Data'!D200="f"),"Female",PROPER('📂 Raw Data'!D200)))</f>
        <v>Female</v>
      </c>
      <c r="E200" s="17" t="str">
        <f>UPPER(TRIM('📂 Raw Data'!E200))</f>
        <v>ENGINEERING</v>
      </c>
      <c r="F200" s="16" t="str">
        <f>PROPER(TRIM('📂 Raw Data'!F200))</f>
        <v>Qa Engineer</v>
      </c>
      <c r="G200" s="16" t="str">
        <f>IFERROR(IF(ISNUMBER('📂 Raw Data'!G200),TEXT('📂 Raw Data'!G200,"DD-MMM-YYYY"),TEXT(DATEVALUE('📂 Raw Data'!G200),"DD-MMM-YYYY")),"Invalid Date")</f>
        <v>07-Jun-2015</v>
      </c>
      <c r="H200" s="16" t="str">
        <f>PROPER(TRIM('📂 Raw Data'!H200))</f>
        <v>Kolkata</v>
      </c>
      <c r="I200" s="18">
        <f>IFERROR(IF(ISNUMBER('📂 Raw Data'!I200),ABS('📂 Raw Data'!I200),0),0)</f>
        <v>63219</v>
      </c>
      <c r="J200" s="18">
        <f>IFERROR(ABS('📂 Raw Data'!J200),0)</f>
        <v>26094</v>
      </c>
      <c r="K200" s="18">
        <f>IFERROR(ABS('📂 Raw Data'!K200),0)</f>
        <v>6979</v>
      </c>
      <c r="L200" s="18">
        <f>IFERROR(ABS('📂 Raw Data'!L200),0)</f>
        <v>6058</v>
      </c>
      <c r="M200" s="18">
        <f>IFERROR(ABS('📂 Raw Data'!M200),0)</f>
        <v>6101</v>
      </c>
      <c r="N200" s="18">
        <f t="shared" si="3"/>
        <v>108451</v>
      </c>
      <c r="O200" s="16">
        <f>IFERROR(ABS('📂 Raw Data'!O200),0)</f>
        <v>18</v>
      </c>
      <c r="P200" s="20">
        <f>IFERROR(ABS('📂 Raw Data'!P69),0)</f>
        <v>71</v>
      </c>
      <c r="Q200" s="19" t="str">
        <f>'📂 Raw Data'!Q200</f>
        <v>Good</v>
      </c>
      <c r="R200" s="55" t="str">
        <f>'📂 Raw Data'!R200</f>
        <v>Active</v>
      </c>
    </row>
    <row r="201" spans="1:18" ht="18" customHeight="1">
      <c r="A201" s="54" t="str">
        <f>'📂 Raw Data'!A201</f>
        <v>EMP1199</v>
      </c>
      <c r="B201" s="16" t="str">
        <f>PROPER(TRIM('📂 Raw Data'!B201))</f>
        <v>Jay Lal</v>
      </c>
      <c r="C201" s="16">
        <f>'📂 Raw Data'!C201</f>
        <v>41</v>
      </c>
      <c r="D201" s="16" t="str">
        <f>IF(OR('📂 Raw Data'!D201="M",'📂 Raw Data'!D201="m"),"Male",IF(OR('📂 Raw Data'!D201="F",'📂 Raw Data'!D201="f"),"Female",PROPER('📂 Raw Data'!D201)))</f>
        <v>Female</v>
      </c>
      <c r="E201" s="17" t="str">
        <f>UPPER(TRIM('📂 Raw Data'!E201))</f>
        <v>SALES</v>
      </c>
      <c r="F201" s="16" t="str">
        <f>PROPER(TRIM('📂 Raw Data'!F201))</f>
        <v>Sales Executive</v>
      </c>
      <c r="G201" s="16" t="str">
        <f>IFERROR(IF(ISNUMBER('📂 Raw Data'!G201),TEXT('📂 Raw Data'!G201,"DD-MMM-YYYY"),TEXT(DATEVALUE('📂 Raw Data'!G201),"DD-MMM-YYYY")),"Invalid Date")</f>
        <v>08-Jan-2021</v>
      </c>
      <c r="H201" s="16" t="str">
        <f>PROPER(TRIM('📂 Raw Data'!H201))</f>
        <v>Mumbai</v>
      </c>
      <c r="I201" s="18">
        <f>IFERROR(IF(ISNUMBER('📂 Raw Data'!I201),ABS('📂 Raw Data'!I201),0),0)</f>
        <v>95981</v>
      </c>
      <c r="J201" s="18">
        <f>IFERROR(ABS('📂 Raw Data'!J201),0)</f>
        <v>35444</v>
      </c>
      <c r="K201" s="18">
        <f>IFERROR(ABS('📂 Raw Data'!K201),0)</f>
        <v>13361</v>
      </c>
      <c r="L201" s="18">
        <f>IFERROR(ABS('📂 Raw Data'!L201),0)</f>
        <v>7186</v>
      </c>
      <c r="M201" s="18">
        <f>IFERROR(ABS('📂 Raw Data'!M201),0)</f>
        <v>1078</v>
      </c>
      <c r="N201" s="18">
        <f t="shared" si="3"/>
        <v>153050</v>
      </c>
      <c r="O201" s="16">
        <f>IFERROR(ABS('📂 Raw Data'!O201),0)</f>
        <v>20</v>
      </c>
      <c r="P201" s="20">
        <f>IFERROR(ABS('📂 Raw Data'!P70),0)</f>
        <v>84</v>
      </c>
      <c r="Q201" s="19" t="str">
        <f>'📂 Raw Data'!Q201</f>
        <v>Below Average</v>
      </c>
      <c r="R201" s="55" t="str">
        <f>'📂 Raw Data'!R201</f>
        <v>Active</v>
      </c>
    </row>
    <row r="202" spans="1:18" ht="18" customHeight="1">
      <c r="A202" s="54" t="str">
        <f>'📂 Raw Data'!A202</f>
        <v>EMP1200</v>
      </c>
      <c r="B202" s="16" t="str">
        <f>PROPER(TRIM('📂 Raw Data'!B202))</f>
        <v>Kavita Chopra</v>
      </c>
      <c r="C202" s="16">
        <f>'📂 Raw Data'!C202</f>
        <v>51</v>
      </c>
      <c r="D202" s="16" t="str">
        <f>IF(OR('📂 Raw Data'!D202="M",'📂 Raw Data'!D202="m"),"Male",IF(OR('📂 Raw Data'!D202="F",'📂 Raw Data'!D202="f"),"Female",PROPER('📂 Raw Data'!D202)))</f>
        <v>Female</v>
      </c>
      <c r="E202" s="17" t="str">
        <f>UPPER(TRIM('📂 Raw Data'!E202))</f>
        <v>FINANCE</v>
      </c>
      <c r="F202" s="16" t="str">
        <f>PROPER(TRIM('📂 Raw Data'!F202))</f>
        <v>Accountant</v>
      </c>
      <c r="G202" s="16" t="str">
        <f>IFERROR(IF(ISNUMBER('📂 Raw Data'!G202),TEXT('📂 Raw Data'!G202,"DD-MMM-YYYY"),TEXT(DATEVALUE('📂 Raw Data'!G202),"DD-MMM-YYYY")),"Invalid Date")</f>
        <v>09-Dec-2017</v>
      </c>
      <c r="H202" s="16" t="str">
        <f>PROPER(TRIM('📂 Raw Data'!H202))</f>
        <v>Pune</v>
      </c>
      <c r="I202" s="18">
        <f>IFERROR(IF(ISNUMBER('📂 Raw Data'!I202),ABS('📂 Raw Data'!I202),0),0)</f>
        <v>37193</v>
      </c>
      <c r="J202" s="18">
        <f>IFERROR(ABS('📂 Raw Data'!J202),0)</f>
        <v>11484</v>
      </c>
      <c r="K202" s="18">
        <f>IFERROR(ABS('📂 Raw Data'!K202),0)</f>
        <v>5792</v>
      </c>
      <c r="L202" s="18">
        <f>IFERROR(ABS('📂 Raw Data'!L202),0)</f>
        <v>7350</v>
      </c>
      <c r="M202" s="18">
        <f>IFERROR(ABS('📂 Raw Data'!M202),0)</f>
        <v>7926</v>
      </c>
      <c r="N202" s="18">
        <f t="shared" si="3"/>
        <v>69745</v>
      </c>
      <c r="O202" s="16">
        <f>IFERROR(ABS('📂 Raw Data'!O202),0)</f>
        <v>23</v>
      </c>
      <c r="P202" s="20">
        <f>IFERROR(ABS('📂 Raw Data'!P71),0)</f>
        <v>45</v>
      </c>
      <c r="Q202" s="19" t="str">
        <f>'📂 Raw Data'!Q202</f>
        <v>Poor</v>
      </c>
      <c r="R202" s="55" t="str">
        <f>'📂 Raw Data'!R202</f>
        <v>Active</v>
      </c>
    </row>
    <row r="203" spans="1:18" ht="18" customHeight="1">
      <c r="A203" s="54" t="str">
        <f>'📂 Raw Data'!A203</f>
        <v>EMP1201</v>
      </c>
      <c r="B203" s="16" t="str">
        <f>PROPER(TRIM('📂 Raw Data'!B203))</f>
        <v>Chetan Joshi</v>
      </c>
      <c r="C203" s="16">
        <f>'📂 Raw Data'!C203</f>
        <v>47</v>
      </c>
      <c r="D203" s="16" t="str">
        <f>IF(OR('📂 Raw Data'!D203="M",'📂 Raw Data'!D203="m"),"Male",IF(OR('📂 Raw Data'!D203="F",'📂 Raw Data'!D203="f"),"Female",PROPER('📂 Raw Data'!D203)))</f>
        <v>Female</v>
      </c>
      <c r="E203" s="17" t="str">
        <f>UPPER(TRIM('📂 Raw Data'!E203))</f>
        <v>SALES</v>
      </c>
      <c r="F203" s="16" t="str">
        <f>PROPER(TRIM('📂 Raw Data'!F203))</f>
        <v>Business Dev</v>
      </c>
      <c r="G203" s="16" t="str">
        <f>IFERROR(IF(ISNUMBER('📂 Raw Data'!G203),TEXT('📂 Raw Data'!G203,"DD-MMM-YYYY"),TEXT(DATEVALUE('📂 Raw Data'!G203),"DD-MMM-YYYY")),"Invalid Date")</f>
        <v>10-Jan-2016</v>
      </c>
      <c r="H203" s="16" t="str">
        <f>PROPER(TRIM('📂 Raw Data'!H203))</f>
        <v>Pune</v>
      </c>
      <c r="I203" s="18">
        <f>IFERROR(IF(ISNUMBER('📂 Raw Data'!I203),ABS('📂 Raw Data'!I203),0),0)</f>
        <v>0</v>
      </c>
      <c r="J203" s="18">
        <f>IFERROR(ABS('📂 Raw Data'!J203),0)</f>
        <v>12834</v>
      </c>
      <c r="K203" s="18">
        <f>IFERROR(ABS('📂 Raw Data'!K203),0)</f>
        <v>4141</v>
      </c>
      <c r="L203" s="18">
        <f>IFERROR(ABS('📂 Raw Data'!L203),0)</f>
        <v>1939</v>
      </c>
      <c r="M203" s="18">
        <f>IFERROR(ABS('📂 Raw Data'!M203),0)</f>
        <v>3389</v>
      </c>
      <c r="N203" s="18">
        <f t="shared" si="3"/>
        <v>22303</v>
      </c>
      <c r="O203" s="16">
        <f>IFERROR(ABS('📂 Raw Data'!O203),0)</f>
        <v>19</v>
      </c>
      <c r="P203" s="20">
        <f>IFERROR(ABS('📂 Raw Data'!P72),0)</f>
        <v>90</v>
      </c>
      <c r="Q203" s="19" t="str">
        <f>'📂 Raw Data'!Q203</f>
        <v>Below Average</v>
      </c>
      <c r="R203" s="55" t="str">
        <f>'📂 Raw Data'!R203</f>
        <v>On Leave</v>
      </c>
    </row>
    <row r="204" spans="1:18" ht="18" customHeight="1">
      <c r="A204" s="54" t="str">
        <f>'📂 Raw Data'!A204</f>
        <v>EMP1202</v>
      </c>
      <c r="B204" s="16" t="str">
        <f>PROPER(TRIM('📂 Raw Data'!B204))</f>
        <v>Lokesh Qadir</v>
      </c>
      <c r="C204" s="16">
        <f>'📂 Raw Data'!C204</f>
        <v>29</v>
      </c>
      <c r="D204" s="16" t="str">
        <f>IF(OR('📂 Raw Data'!D204="M",'📂 Raw Data'!D204="m"),"Male",IF(OR('📂 Raw Data'!D204="F",'📂 Raw Data'!D204="f"),"Female",PROPER('📂 Raw Data'!D204)))</f>
        <v>Female</v>
      </c>
      <c r="E204" s="17" t="str">
        <f>UPPER(TRIM('📂 Raw Data'!E204))</f>
        <v>HR</v>
      </c>
      <c r="F204" s="16" t="str">
        <f>PROPER(TRIM('📂 Raw Data'!F204))</f>
        <v>Hr Manager</v>
      </c>
      <c r="G204" s="16" t="str">
        <f>IFERROR(IF(ISNUMBER('📂 Raw Data'!G204),TEXT('📂 Raw Data'!G204,"DD-MMM-YYYY"),TEXT(DATEVALUE('📂 Raw Data'!G204),"DD-MMM-YYYY")),"Invalid Date")</f>
        <v>05-Apr-2016</v>
      </c>
      <c r="H204" s="16" t="str">
        <f>PROPER(TRIM('📂 Raw Data'!H204))</f>
        <v>Hyderabad</v>
      </c>
      <c r="I204" s="18">
        <f>IFERROR(IF(ISNUMBER('📂 Raw Data'!I204),ABS('📂 Raw Data'!I204),0),0)</f>
        <v>101638</v>
      </c>
      <c r="J204" s="18">
        <f>IFERROR(ABS('📂 Raw Data'!J204),0)</f>
        <v>32707</v>
      </c>
      <c r="K204" s="18">
        <f>IFERROR(ABS('📂 Raw Data'!K204),0)</f>
        <v>3731</v>
      </c>
      <c r="L204" s="18">
        <f>IFERROR(ABS('📂 Raw Data'!L204),0)</f>
        <v>1346</v>
      </c>
      <c r="M204" s="18">
        <f>IFERROR(ABS('📂 Raw Data'!M204),0)</f>
        <v>4682</v>
      </c>
      <c r="N204" s="18">
        <f t="shared" si="3"/>
        <v>144104</v>
      </c>
      <c r="O204" s="16">
        <f>IFERROR(ABS('📂 Raw Data'!O204),0)</f>
        <v>22</v>
      </c>
      <c r="P204" s="20">
        <f>IFERROR(ABS('📂 Raw Data'!P73),0)</f>
        <v>51</v>
      </c>
      <c r="Q204" s="19" t="str">
        <f>'📂 Raw Data'!Q204</f>
        <v>Below Average</v>
      </c>
      <c r="R204" s="55" t="str">
        <f>'📂 Raw Data'!R204</f>
        <v>Active</v>
      </c>
    </row>
    <row r="205" spans="1:18" ht="18" customHeight="1">
      <c r="A205" s="54" t="str">
        <f>'📂 Raw Data'!A205</f>
        <v>EMP1203</v>
      </c>
      <c r="B205" s="16" t="str">
        <f>PROPER(TRIM('📂 Raw Data'!B205))</f>
        <v>Riya Rao</v>
      </c>
      <c r="C205" s="16">
        <f>'📂 Raw Data'!C205</f>
        <v>35</v>
      </c>
      <c r="D205" s="16" t="str">
        <f>IF(OR('📂 Raw Data'!D205="M",'📂 Raw Data'!D205="m"),"Male",IF(OR('📂 Raw Data'!D205="F",'📂 Raw Data'!D205="f"),"Female",PROPER('📂 Raw Data'!D205)))</f>
        <v>Male</v>
      </c>
      <c r="E205" s="17" t="str">
        <f>UPPER(TRIM('📂 Raw Data'!E205))</f>
        <v>HR</v>
      </c>
      <c r="F205" s="16" t="str">
        <f>PROPER(TRIM('📂 Raw Data'!F205))</f>
        <v>Training Coordinator</v>
      </c>
      <c r="G205" s="16" t="str">
        <f>IFERROR(IF(ISNUMBER('📂 Raw Data'!G205),TEXT('📂 Raw Data'!G205,"DD-MMM-YYYY"),TEXT(DATEVALUE('📂 Raw Data'!G205),"DD-MMM-YYYY")),"Invalid Date")</f>
        <v>03-Feb-2019</v>
      </c>
      <c r="H205" s="16" t="str">
        <f>PROPER(TRIM('📂 Raw Data'!H205))</f>
        <v>Kolkata</v>
      </c>
      <c r="I205" s="18">
        <f>IFERROR(IF(ISNUMBER('📂 Raw Data'!I205),ABS('📂 Raw Data'!I205),0),0)</f>
        <v>45658</v>
      </c>
      <c r="J205" s="18">
        <f>IFERROR(ABS('📂 Raw Data'!J205),0)</f>
        <v>21072</v>
      </c>
      <c r="K205" s="18">
        <f>IFERROR(ABS('📂 Raw Data'!K205),0)</f>
        <v>6984</v>
      </c>
      <c r="L205" s="18">
        <f>IFERROR(ABS('📂 Raw Data'!L205),0)</f>
        <v>6769</v>
      </c>
      <c r="M205" s="18">
        <f>IFERROR(ABS('📂 Raw Data'!M205),0)</f>
        <v>6772</v>
      </c>
      <c r="N205" s="18">
        <f t="shared" si="3"/>
        <v>87255</v>
      </c>
      <c r="O205" s="16">
        <f>IFERROR(ABS('📂 Raw Data'!O205),0)</f>
        <v>26</v>
      </c>
      <c r="P205" s="20">
        <f>IFERROR(ABS('📂 Raw Data'!P74),0)</f>
        <v>100</v>
      </c>
      <c r="Q205" s="19" t="str">
        <f>'📂 Raw Data'!Q205</f>
        <v>Good</v>
      </c>
      <c r="R205" s="55" t="str">
        <f>'📂 Raw Data'!R205</f>
        <v>Active</v>
      </c>
    </row>
    <row r="206" spans="1:18" ht="18" customHeight="1">
      <c r="A206" s="54" t="str">
        <f>'📂 Raw Data'!A206</f>
        <v>EMP1204</v>
      </c>
      <c r="B206" s="16" t="str">
        <f>PROPER(TRIM('📂 Raw Data'!B206))</f>
        <v>Pooja Agarwal</v>
      </c>
      <c r="C206" s="16">
        <f>'📂 Raw Data'!C206</f>
        <v>28</v>
      </c>
      <c r="D206" s="16" t="str">
        <f>IF(OR('📂 Raw Data'!D206="M",'📂 Raw Data'!D206="m"),"Male",IF(OR('📂 Raw Data'!D206="F",'📂 Raw Data'!D206="f"),"Female",PROPER('📂 Raw Data'!D206)))</f>
        <v>Male</v>
      </c>
      <c r="E206" s="17" t="str">
        <f>UPPER(TRIM('📂 Raw Data'!E206))</f>
        <v>HR</v>
      </c>
      <c r="F206" s="16" t="str">
        <f>PROPER(TRIM('📂 Raw Data'!F206))</f>
        <v>Training Coordinator</v>
      </c>
      <c r="G206" s="16" t="str">
        <f>IFERROR(IF(ISNUMBER('📂 Raw Data'!G206),TEXT('📂 Raw Data'!G206,"DD-MMM-YYYY"),TEXT(DATEVALUE('📂 Raw Data'!G206),"DD-MMM-YYYY")),"Invalid Date")</f>
        <v>22-Jan-2023</v>
      </c>
      <c r="H206" s="16" t="str">
        <f>PROPER(TRIM('📂 Raw Data'!H206))</f>
        <v>Chennai</v>
      </c>
      <c r="I206" s="18">
        <f>IFERROR(IF(ISNUMBER('📂 Raw Data'!I206),ABS('📂 Raw Data'!I206),0),0)</f>
        <v>64169</v>
      </c>
      <c r="J206" s="18">
        <f>IFERROR(ABS('📂 Raw Data'!J206),0)</f>
        <v>22590</v>
      </c>
      <c r="K206" s="18">
        <f>IFERROR(ABS('📂 Raw Data'!K206),0)</f>
        <v>4848</v>
      </c>
      <c r="L206" s="18">
        <f>IFERROR(ABS('📂 Raw Data'!L206),0)</f>
        <v>254</v>
      </c>
      <c r="M206" s="18">
        <f>IFERROR(ABS('📂 Raw Data'!M206),0)</f>
        <v>4312</v>
      </c>
      <c r="N206" s="18">
        <f t="shared" si="3"/>
        <v>96173</v>
      </c>
      <c r="O206" s="16">
        <f>IFERROR(ABS('📂 Raw Data'!O206),0)</f>
        <v>22</v>
      </c>
      <c r="P206" s="20">
        <f>IFERROR(ABS('📂 Raw Data'!P75),0)</f>
        <v>78</v>
      </c>
      <c r="Q206" s="19" t="str">
        <f>'📂 Raw Data'!Q206</f>
        <v>Good</v>
      </c>
      <c r="R206" s="55" t="str">
        <f>'📂 Raw Data'!R206</f>
        <v>Active</v>
      </c>
    </row>
    <row r="207" spans="1:18" ht="18" customHeight="1">
      <c r="A207" s="54" t="str">
        <f>'📂 Raw Data'!A207</f>
        <v>EMP1205</v>
      </c>
      <c r="B207" s="16" t="str">
        <f>PROPER(TRIM('📂 Raw Data'!B207))</f>
        <v>Qasim Mehta</v>
      </c>
      <c r="C207" s="16">
        <f>'📂 Raw Data'!C207</f>
        <v>26</v>
      </c>
      <c r="D207" s="16" t="str">
        <f>IF(OR('📂 Raw Data'!D207="M",'📂 Raw Data'!D207="m"),"Male",IF(OR('📂 Raw Data'!D207="F",'📂 Raw Data'!D207="f"),"Female",PROPER('📂 Raw Data'!D207)))</f>
        <v>Female</v>
      </c>
      <c r="E207" s="17" t="str">
        <f>UPPER(TRIM('📂 Raw Data'!E207))</f>
        <v>ENGINEERING</v>
      </c>
      <c r="F207" s="16" t="str">
        <f>PROPER(TRIM('📂 Raw Data'!F207))</f>
        <v>Software Engineer</v>
      </c>
      <c r="G207" s="16" t="str">
        <f>IFERROR(IF(ISNUMBER('📂 Raw Data'!G207),TEXT('📂 Raw Data'!G207,"DD-MMM-YYYY"),TEXT(DATEVALUE('📂 Raw Data'!G207),"DD-MMM-YYYY")),"Invalid Date")</f>
        <v>05-Apr-2015</v>
      </c>
      <c r="H207" s="16" t="str">
        <f>PROPER(TRIM('📂 Raw Data'!H207))</f>
        <v>Mumbai</v>
      </c>
      <c r="I207" s="18">
        <f>IFERROR(IF(ISNUMBER('📂 Raw Data'!I207),ABS('📂 Raw Data'!I207),0),0)</f>
        <v>50969</v>
      </c>
      <c r="J207" s="18">
        <f>IFERROR(ABS('📂 Raw Data'!J207),0)</f>
        <v>23687</v>
      </c>
      <c r="K207" s="18">
        <f>IFERROR(ABS('📂 Raw Data'!K207),0)</f>
        <v>8098</v>
      </c>
      <c r="L207" s="18">
        <f>IFERROR(ABS('📂 Raw Data'!L207),0)</f>
        <v>5622</v>
      </c>
      <c r="M207" s="18">
        <f>IFERROR(ABS('📂 Raw Data'!M207),0)</f>
        <v>6163</v>
      </c>
      <c r="N207" s="18">
        <f t="shared" si="3"/>
        <v>94539</v>
      </c>
      <c r="O207" s="16">
        <f>IFERROR(ABS('📂 Raw Data'!O207),0)</f>
        <v>25</v>
      </c>
      <c r="P207" s="20">
        <f>IFERROR(ABS('📂 Raw Data'!P76),0)</f>
        <v>47</v>
      </c>
      <c r="Q207" s="19" t="str">
        <f>'📂 Raw Data'!Q207</f>
        <v>Below Average</v>
      </c>
      <c r="R207" s="55" t="str">
        <f>'📂 Raw Data'!R207</f>
        <v>Active</v>
      </c>
    </row>
    <row r="208" spans="1:18" ht="18" customHeight="1">
      <c r="A208" s="54" t="str">
        <f>'📂 Raw Data'!A208</f>
        <v>EMP1206</v>
      </c>
      <c r="B208" s="16" t="str">
        <f>PROPER(TRIM('📂 Raw Data'!B208))</f>
        <v>Zara Sharma</v>
      </c>
      <c r="C208" s="16">
        <f>'📂 Raw Data'!C208</f>
        <v>23</v>
      </c>
      <c r="D208" s="16" t="str">
        <f>IF(OR('📂 Raw Data'!D208="M",'📂 Raw Data'!D208="m"),"Male",IF(OR('📂 Raw Data'!D208="F",'📂 Raw Data'!D208="f"),"Female",PROPER('📂 Raw Data'!D208)))</f>
        <v>Female</v>
      </c>
      <c r="E208" s="17" t="str">
        <f>UPPER(TRIM('📂 Raw Data'!E208))</f>
        <v>SALES</v>
      </c>
      <c r="F208" s="16" t="str">
        <f>PROPER(TRIM('📂 Raw Data'!F208))</f>
        <v>Sales Executive</v>
      </c>
      <c r="G208" s="16" t="str">
        <f>IFERROR(IF(ISNUMBER('📂 Raw Data'!G208),TEXT('📂 Raw Data'!G208,"DD-MMM-YYYY"),TEXT(DATEVALUE('📂 Raw Data'!G208),"DD-MMM-YYYY")),"Invalid Date")</f>
        <v>02-Feb-2020</v>
      </c>
      <c r="H208" s="16" t="str">
        <f>PROPER(TRIM('📂 Raw Data'!H208))</f>
        <v>Chennai</v>
      </c>
      <c r="I208" s="18">
        <f>IFERROR(IF(ISNUMBER('📂 Raw Data'!I208),ABS('📂 Raw Data'!I208),0),0)</f>
        <v>85423</v>
      </c>
      <c r="J208" s="18">
        <f>IFERROR(ABS('📂 Raw Data'!J208),0)</f>
        <v>26492</v>
      </c>
      <c r="K208" s="18">
        <f>IFERROR(ABS('📂 Raw Data'!K208),0)</f>
        <v>11402</v>
      </c>
      <c r="L208" s="18">
        <f>IFERROR(ABS('📂 Raw Data'!L208),0)</f>
        <v>3548</v>
      </c>
      <c r="M208" s="18">
        <f>IFERROR(ABS('📂 Raw Data'!M208),0)</f>
        <v>7731</v>
      </c>
      <c r="N208" s="18">
        <f t="shared" si="3"/>
        <v>134596</v>
      </c>
      <c r="O208" s="16">
        <f>IFERROR(ABS('📂 Raw Data'!O208),0)</f>
        <v>26</v>
      </c>
      <c r="P208" s="20">
        <f>IFERROR(ABS('📂 Raw Data'!P77),0)</f>
        <v>99</v>
      </c>
      <c r="Q208" s="19" t="str">
        <f>'📂 Raw Data'!Q208</f>
        <v>Average</v>
      </c>
      <c r="R208" s="55" t="str">
        <f>'📂 Raw Data'!R208</f>
        <v>On Leave</v>
      </c>
    </row>
    <row r="209" spans="1:18" ht="18" customHeight="1">
      <c r="A209" s="54" t="str">
        <f>'📂 Raw Data'!A209</f>
        <v>EMP1207</v>
      </c>
      <c r="B209" s="16" t="str">
        <f>PROPER(TRIM('📂 Raw Data'!B209))</f>
        <v>Isha Rao</v>
      </c>
      <c r="C209" s="16">
        <f>'📂 Raw Data'!C209</f>
        <v>48</v>
      </c>
      <c r="D209" s="16" t="str">
        <f>IF(OR('📂 Raw Data'!D209="M",'📂 Raw Data'!D209="m"),"Male",IF(OR('📂 Raw Data'!D209="F",'📂 Raw Data'!D209="f"),"Female",PROPER('📂 Raw Data'!D209)))</f>
        <v>Female</v>
      </c>
      <c r="E209" s="17" t="str">
        <f>UPPER(TRIM('📂 Raw Data'!E209))</f>
        <v>SALES</v>
      </c>
      <c r="F209" s="16" t="str">
        <f>PROPER(TRIM('📂 Raw Data'!F209))</f>
        <v>Senior Sales</v>
      </c>
      <c r="G209" s="16" t="str">
        <f>IFERROR(IF(ISNUMBER('📂 Raw Data'!G209),TEXT('📂 Raw Data'!G209,"DD-MMM-YYYY"),TEXT(DATEVALUE('📂 Raw Data'!G209),"DD-MMM-YYYY")),"Invalid Date")</f>
        <v>15-May-2019</v>
      </c>
      <c r="H209" s="16" t="str">
        <f>PROPER(TRIM('📂 Raw Data'!H209))</f>
        <v>Hyderabad</v>
      </c>
      <c r="I209" s="18">
        <f>IFERROR(IF(ISNUMBER('📂 Raw Data'!I209),ABS('📂 Raw Data'!I209),0),0)</f>
        <v>44481</v>
      </c>
      <c r="J209" s="18">
        <f>IFERROR(ABS('📂 Raw Data'!J209),0)</f>
        <v>13653</v>
      </c>
      <c r="K209" s="18">
        <f>IFERROR(ABS('📂 Raw Data'!K209),0)</f>
        <v>12144</v>
      </c>
      <c r="L209" s="18">
        <f>IFERROR(ABS('📂 Raw Data'!L209),0)</f>
        <v>5054</v>
      </c>
      <c r="M209" s="18">
        <f>IFERROR(ABS('📂 Raw Data'!M209),0)</f>
        <v>3013</v>
      </c>
      <c r="N209" s="18">
        <f t="shared" si="3"/>
        <v>78345</v>
      </c>
      <c r="O209" s="16">
        <f>IFERROR(ABS('📂 Raw Data'!O209),0)</f>
        <v>25</v>
      </c>
      <c r="P209" s="20">
        <f>IFERROR(ABS('📂 Raw Data'!P78),0)</f>
        <v>66</v>
      </c>
      <c r="Q209" s="19" t="str">
        <f>'📂 Raw Data'!Q209</f>
        <v>Average</v>
      </c>
      <c r="R209" s="55" t="str">
        <f>'📂 Raw Data'!R209</f>
        <v>Active</v>
      </c>
    </row>
    <row r="210" spans="1:18" ht="18" customHeight="1">
      <c r="A210" s="54" t="str">
        <f>'📂 Raw Data'!A210</f>
        <v>EMP1208</v>
      </c>
      <c r="B210" s="16" t="str">
        <f>PROPER(TRIM('📂 Raw Data'!B210))</f>
        <v>Rohit Hassan</v>
      </c>
      <c r="C210" s="16">
        <f>'📂 Raw Data'!C210</f>
        <v>52</v>
      </c>
      <c r="D210" s="16" t="str">
        <f>IF(OR('📂 Raw Data'!D210="M",'📂 Raw Data'!D210="m"),"Male",IF(OR('📂 Raw Data'!D210="F",'📂 Raw Data'!D210="f"),"Female",PROPER('📂 Raw Data'!D210)))</f>
        <v>Female</v>
      </c>
      <c r="E210" s="17" t="str">
        <f>UPPER(TRIM('📂 Raw Data'!E210))</f>
        <v>FINANCE</v>
      </c>
      <c r="F210" s="16" t="str">
        <f>PROPER(TRIM('📂 Raw Data'!F210))</f>
        <v>Senior Accountant</v>
      </c>
      <c r="G210" s="16" t="str">
        <f>IFERROR(IF(ISNUMBER('📂 Raw Data'!G210),TEXT('📂 Raw Data'!G210,"DD-MMM-YYYY"),TEXT(DATEVALUE('📂 Raw Data'!G210),"DD-MMM-YYYY")),"Invalid Date")</f>
        <v>21-Apr-2021</v>
      </c>
      <c r="H210" s="16" t="str">
        <f>PROPER(TRIM('📂 Raw Data'!H210))</f>
        <v>Hyderabad</v>
      </c>
      <c r="I210" s="18">
        <f>IFERROR(IF(ISNUMBER('📂 Raw Data'!I210),ABS('📂 Raw Data'!I210),0),0)</f>
        <v>93919</v>
      </c>
      <c r="J210" s="18">
        <f>IFERROR(ABS('📂 Raw Data'!J210),0)</f>
        <v>32856</v>
      </c>
      <c r="K210" s="18">
        <f>IFERROR(ABS('📂 Raw Data'!K210),0)</f>
        <v>10907</v>
      </c>
      <c r="L210" s="18">
        <f>IFERROR(ABS('📂 Raw Data'!L210),0)</f>
        <v>6511</v>
      </c>
      <c r="M210" s="18">
        <f>IFERROR(ABS('📂 Raw Data'!M210),0)</f>
        <v>1159</v>
      </c>
      <c r="N210" s="18">
        <f t="shared" si="3"/>
        <v>145352</v>
      </c>
      <c r="O210" s="16">
        <f>IFERROR(ABS('📂 Raw Data'!O210),0)</f>
        <v>21</v>
      </c>
      <c r="P210" s="20">
        <f>IFERROR(ABS('📂 Raw Data'!P79),0)</f>
        <v>62</v>
      </c>
      <c r="Q210" s="19" t="str">
        <f>'📂 Raw Data'!Q210</f>
        <v>Poor</v>
      </c>
      <c r="R210" s="55" t="str">
        <f>'📂 Raw Data'!R210</f>
        <v>Active</v>
      </c>
    </row>
    <row r="211" spans="1:18" ht="18" customHeight="1">
      <c r="A211" s="54" t="str">
        <f>'📂 Raw Data'!A211</f>
        <v>EMP1209</v>
      </c>
      <c r="B211" s="16" t="str">
        <f>PROPER(TRIM('📂 Raw Data'!B211))</f>
        <v>Divya Singh</v>
      </c>
      <c r="C211" s="16">
        <f>'📂 Raw Data'!C211</f>
        <v>55</v>
      </c>
      <c r="D211" s="16" t="str">
        <f>IF(OR('📂 Raw Data'!D211="M",'📂 Raw Data'!D211="m"),"Male",IF(OR('📂 Raw Data'!D211="F",'📂 Raw Data'!D211="f"),"Female",PROPER('📂 Raw Data'!D211)))</f>
        <v>Female</v>
      </c>
      <c r="E211" s="17" t="str">
        <f>UPPER(TRIM('📂 Raw Data'!E211))</f>
        <v>HR</v>
      </c>
      <c r="F211" s="16" t="str">
        <f>PROPER(TRIM('📂 Raw Data'!F211))</f>
        <v>Training Coordinator</v>
      </c>
      <c r="G211" s="16" t="str">
        <f>IFERROR(IF(ISNUMBER('📂 Raw Data'!G211),TEXT('📂 Raw Data'!G211,"DD-MMM-YYYY"),TEXT(DATEVALUE('📂 Raw Data'!G211),"DD-MMM-YYYY")),"Invalid Date")</f>
        <v>01-Mar-2019</v>
      </c>
      <c r="H211" s="16" t="str">
        <f>PROPER(TRIM('📂 Raw Data'!H211))</f>
        <v>Bangalore</v>
      </c>
      <c r="I211" s="18">
        <f>IFERROR(IF(ISNUMBER('📂 Raw Data'!I211),ABS('📂 Raw Data'!I211),0),0)</f>
        <v>66795</v>
      </c>
      <c r="J211" s="18">
        <f>IFERROR(ABS('📂 Raw Data'!J211),0)</f>
        <v>28015</v>
      </c>
      <c r="K211" s="18">
        <f>IFERROR(ABS('📂 Raw Data'!K211),0)</f>
        <v>2480</v>
      </c>
      <c r="L211" s="18">
        <f>IFERROR(ABS('📂 Raw Data'!L211),0)</f>
        <v>7338</v>
      </c>
      <c r="M211" s="18">
        <f>IFERROR(ABS('📂 Raw Data'!M211),0)</f>
        <v>7641</v>
      </c>
      <c r="N211" s="18">
        <f t="shared" si="3"/>
        <v>112269</v>
      </c>
      <c r="O211" s="16">
        <f>IFERROR(ABS('📂 Raw Data'!O211),0)</f>
        <v>19</v>
      </c>
      <c r="P211" s="20">
        <f>IFERROR(ABS('📂 Raw Data'!P80),0)</f>
        <v>40</v>
      </c>
      <c r="Q211" s="19" t="str">
        <f>'📂 Raw Data'!Q211</f>
        <v>Excellent</v>
      </c>
      <c r="R211" s="55" t="str">
        <f>'📂 Raw Data'!R211</f>
        <v>Resigned</v>
      </c>
    </row>
    <row r="212" spans="1:18" ht="18" customHeight="1">
      <c r="A212" s="54" t="str">
        <f>'📂 Raw Data'!A212</f>
        <v>EMP1210</v>
      </c>
      <c r="B212" s="16" t="str">
        <f>PROPER(TRIM('📂 Raw Data'!B212))</f>
        <v>Chetan Rastogi</v>
      </c>
      <c r="C212" s="16">
        <f>'📂 Raw Data'!C212</f>
        <v>33</v>
      </c>
      <c r="D212" s="16" t="str">
        <f>IF(OR('📂 Raw Data'!D212="M",'📂 Raw Data'!D212="m"),"Male",IF(OR('📂 Raw Data'!D212="F",'📂 Raw Data'!D212="f"),"Female",PROPER('📂 Raw Data'!D212)))</f>
        <v>Male</v>
      </c>
      <c r="E212" s="17" t="str">
        <f>UPPER(TRIM('📂 Raw Data'!E212))</f>
        <v>SALES</v>
      </c>
      <c r="F212" s="16" t="str">
        <f>PROPER(TRIM('📂 Raw Data'!F212))</f>
        <v>Senior Sales</v>
      </c>
      <c r="G212" s="16" t="str">
        <f>IFERROR(IF(ISNUMBER('📂 Raw Data'!G212),TEXT('📂 Raw Data'!G212,"DD-MMM-YYYY"),TEXT(DATEVALUE('📂 Raw Data'!G212),"DD-MMM-YYYY")),"Invalid Date")</f>
        <v>27-Sep-2019</v>
      </c>
      <c r="H212" s="16" t="str">
        <f>PROPER(TRIM('📂 Raw Data'!H212))</f>
        <v>Delhi</v>
      </c>
      <c r="I212" s="18">
        <f>IFERROR(IF(ISNUMBER('📂 Raw Data'!I212),ABS('📂 Raw Data'!I212),0),0)</f>
        <v>32328</v>
      </c>
      <c r="J212" s="18">
        <f>IFERROR(ABS('📂 Raw Data'!J212),0)</f>
        <v>14638</v>
      </c>
      <c r="K212" s="18">
        <f>IFERROR(ABS('📂 Raw Data'!K212),0)</f>
        <v>5594</v>
      </c>
      <c r="L212" s="18">
        <f>IFERROR(ABS('📂 Raw Data'!L212),0)</f>
        <v>4716</v>
      </c>
      <c r="M212" s="18">
        <f>IFERROR(ABS('📂 Raw Data'!M212),0)</f>
        <v>7934</v>
      </c>
      <c r="N212" s="18">
        <f t="shared" si="3"/>
        <v>65210</v>
      </c>
      <c r="O212" s="16">
        <f>IFERROR(ABS('📂 Raw Data'!O212),0)</f>
        <v>21</v>
      </c>
      <c r="P212" s="20">
        <f>IFERROR(ABS('📂 Raw Data'!P81),0)</f>
        <v>59</v>
      </c>
      <c r="Q212" s="19" t="str">
        <f>'📂 Raw Data'!Q212</f>
        <v>Average</v>
      </c>
      <c r="R212" s="55" t="str">
        <f>'📂 Raw Data'!R212</f>
        <v>Resigned</v>
      </c>
    </row>
    <row r="213" spans="1:18" ht="18" customHeight="1">
      <c r="A213" s="54" t="str">
        <f>'📂 Raw Data'!A213</f>
        <v>EMP1211</v>
      </c>
      <c r="B213" s="16" t="str">
        <f>PROPER(TRIM('📂 Raw Data'!B213))</f>
        <v>Sanjay Khanna</v>
      </c>
      <c r="C213" s="16">
        <f>'📂 Raw Data'!C213</f>
        <v>33</v>
      </c>
      <c r="D213" s="16" t="str">
        <f>IF(OR('📂 Raw Data'!D213="M",'📂 Raw Data'!D213="m"),"Male",IF(OR('📂 Raw Data'!D213="F",'📂 Raw Data'!D213="f"),"Female",PROPER('📂 Raw Data'!D213)))</f>
        <v>Female</v>
      </c>
      <c r="E213" s="17" t="str">
        <f>UPPER(TRIM('📂 Raw Data'!E213))</f>
        <v>MARKETING</v>
      </c>
      <c r="F213" s="16" t="str">
        <f>PROPER(TRIM('📂 Raw Data'!F213))</f>
        <v>Marketing Executive</v>
      </c>
      <c r="G213" s="16" t="str">
        <f>IFERROR(IF(ISNUMBER('📂 Raw Data'!G213),TEXT('📂 Raw Data'!G213,"DD-MMM-YYYY"),TEXT(DATEVALUE('📂 Raw Data'!G213),"DD-MMM-YYYY")),"Invalid Date")</f>
        <v>19-Oct-2020</v>
      </c>
      <c r="H213" s="16" t="str">
        <f>PROPER(TRIM('📂 Raw Data'!H213))</f>
        <v>Chennai</v>
      </c>
      <c r="I213" s="18">
        <f>IFERROR(IF(ISNUMBER('📂 Raw Data'!I213),ABS('📂 Raw Data'!I213),0),0)</f>
        <v>43625</v>
      </c>
      <c r="J213" s="18">
        <f>IFERROR(ABS('📂 Raw Data'!J213),0)</f>
        <v>18001</v>
      </c>
      <c r="K213" s="18">
        <f>IFERROR(ABS('📂 Raw Data'!K213),0)</f>
        <v>5084</v>
      </c>
      <c r="L213" s="18">
        <f>IFERROR(ABS('📂 Raw Data'!L213),0)</f>
        <v>6854</v>
      </c>
      <c r="M213" s="18">
        <f>IFERROR(ABS('📂 Raw Data'!M213),0)</f>
        <v>7638</v>
      </c>
      <c r="N213" s="18">
        <f t="shared" si="3"/>
        <v>81202</v>
      </c>
      <c r="O213" s="16">
        <f>IFERROR(ABS('📂 Raw Data'!O213),0)</f>
        <v>22</v>
      </c>
      <c r="P213" s="20">
        <f>IFERROR(ABS('📂 Raw Data'!P82),0)</f>
        <v>88</v>
      </c>
      <c r="Q213" s="19" t="str">
        <f>'📂 Raw Data'!Q213</f>
        <v>Good</v>
      </c>
      <c r="R213" s="55" t="str">
        <f>'📂 Raw Data'!R213</f>
        <v>Active</v>
      </c>
    </row>
    <row r="214" spans="1:18" ht="18" customHeight="1">
      <c r="A214" s="54" t="str">
        <f>'📂 Raw Data'!A214</f>
        <v>EMP1212</v>
      </c>
      <c r="B214" s="16" t="str">
        <f>PROPER(TRIM('📂 Raw Data'!B214))</f>
        <v>Riya Pandey</v>
      </c>
      <c r="C214" s="16">
        <f>'📂 Raw Data'!C214</f>
        <v>42</v>
      </c>
      <c r="D214" s="16" t="str">
        <f>IF(OR('📂 Raw Data'!D214="M",'📂 Raw Data'!D214="m"),"Male",IF(OR('📂 Raw Data'!D214="F",'📂 Raw Data'!D214="f"),"Female",PROPER('📂 Raw Data'!D214)))</f>
        <v>Male</v>
      </c>
      <c r="E214" s="17" t="str">
        <f>UPPER(TRIM('📂 Raw Data'!E214))</f>
        <v>MARKETING</v>
      </c>
      <c r="F214" s="16" t="str">
        <f>PROPER(TRIM('📂 Raw Data'!F214))</f>
        <v>Content Writer</v>
      </c>
      <c r="G214" s="16" t="str">
        <f>IFERROR(IF(ISNUMBER('📂 Raw Data'!G214),TEXT('📂 Raw Data'!G214,"DD-MMM-YYYY"),TEXT(DATEVALUE('📂 Raw Data'!G214),"DD-MMM-YYYY")),"Invalid Date")</f>
        <v>16-Sep-2015</v>
      </c>
      <c r="H214" s="16" t="str">
        <f>PROPER(TRIM('📂 Raw Data'!H214))</f>
        <v>Mumbai</v>
      </c>
      <c r="I214" s="18">
        <f>IFERROR(IF(ISNUMBER('📂 Raw Data'!I214),ABS('📂 Raw Data'!I214),0),0)</f>
        <v>25089</v>
      </c>
      <c r="J214" s="18">
        <f>IFERROR(ABS('📂 Raw Data'!J214),0)</f>
        <v>9191</v>
      </c>
      <c r="K214" s="18">
        <f>IFERROR(ABS('📂 Raw Data'!K214),0)</f>
        <v>12061</v>
      </c>
      <c r="L214" s="18">
        <f>IFERROR(ABS('📂 Raw Data'!L214),0)</f>
        <v>1650</v>
      </c>
      <c r="M214" s="18">
        <f>IFERROR(ABS('📂 Raw Data'!M214),0)</f>
        <v>7606</v>
      </c>
      <c r="N214" s="18">
        <f t="shared" si="3"/>
        <v>55597</v>
      </c>
      <c r="O214" s="16">
        <f>IFERROR(ABS('📂 Raw Data'!O214),0)</f>
        <v>17</v>
      </c>
      <c r="P214" s="20">
        <f>IFERROR(ABS('📂 Raw Data'!P83),0)</f>
        <v>88</v>
      </c>
      <c r="Q214" s="19" t="str">
        <f>'📂 Raw Data'!Q214</f>
        <v>Good</v>
      </c>
      <c r="R214" s="55" t="str">
        <f>'📂 Raw Data'!R214</f>
        <v>Active</v>
      </c>
    </row>
    <row r="215" spans="1:18" ht="18" customHeight="1">
      <c r="A215" s="54" t="str">
        <f>'📂 Raw Data'!A215</f>
        <v>EMP1213</v>
      </c>
      <c r="B215" s="16" t="str">
        <f>PROPER(TRIM('📂 Raw Data'!B215))</f>
        <v>Lakshmi Mehta</v>
      </c>
      <c r="C215" s="16">
        <f>'📂 Raw Data'!C215</f>
        <v>49</v>
      </c>
      <c r="D215" s="16" t="str">
        <f>IF(OR('📂 Raw Data'!D215="M",'📂 Raw Data'!D215="m"),"Male",IF(OR('📂 Raw Data'!D215="F",'📂 Raw Data'!D215="f"),"Female",PROPER('📂 Raw Data'!D215)))</f>
        <v>Male</v>
      </c>
      <c r="E215" s="17" t="str">
        <f>UPPER(TRIM('📂 Raw Data'!E215))</f>
        <v>ENGINEERING</v>
      </c>
      <c r="F215" s="16" t="str">
        <f>PROPER(TRIM('📂 Raw Data'!F215))</f>
        <v>Tech Lead</v>
      </c>
      <c r="G215" s="16" t="str">
        <f>IFERROR(IF(ISNUMBER('📂 Raw Data'!G215),TEXT('📂 Raw Data'!G215,"DD-MMM-YYYY"),TEXT(DATEVALUE('📂 Raw Data'!G215),"DD-MMM-YYYY")),"Invalid Date")</f>
        <v>23-Jun-2016</v>
      </c>
      <c r="H215" s="16" t="str">
        <f>PROPER(TRIM('📂 Raw Data'!H215))</f>
        <v>Kolkata</v>
      </c>
      <c r="I215" s="18">
        <f>IFERROR(IF(ISNUMBER('📂 Raw Data'!I215),ABS('📂 Raw Data'!I215),0),0)</f>
        <v>111787</v>
      </c>
      <c r="J215" s="18">
        <f>IFERROR(ABS('📂 Raw Data'!J215),0)</f>
        <v>42381</v>
      </c>
      <c r="K215" s="18">
        <f>IFERROR(ABS('📂 Raw Data'!K215),0)</f>
        <v>3655</v>
      </c>
      <c r="L215" s="18">
        <f>IFERROR(ABS('📂 Raw Data'!L215),0)</f>
        <v>2757</v>
      </c>
      <c r="M215" s="18">
        <f>IFERROR(ABS('📂 Raw Data'!M215),0)</f>
        <v>3472</v>
      </c>
      <c r="N215" s="18">
        <f t="shared" si="3"/>
        <v>164052</v>
      </c>
      <c r="O215" s="16">
        <f>IFERROR(ABS('📂 Raw Data'!O215),0)</f>
        <v>20</v>
      </c>
      <c r="P215" s="20">
        <f>IFERROR(ABS('📂 Raw Data'!P84),0)</f>
        <v>65</v>
      </c>
      <c r="Q215" s="19" t="str">
        <f>'📂 Raw Data'!Q215</f>
        <v>Average</v>
      </c>
      <c r="R215" s="55" t="str">
        <f>'📂 Raw Data'!R215</f>
        <v>On Leave</v>
      </c>
    </row>
    <row r="216" spans="1:18" ht="18" customHeight="1">
      <c r="A216" s="54" t="str">
        <f>'📂 Raw Data'!A216</f>
        <v>EMP1214</v>
      </c>
      <c r="B216" s="16" t="str">
        <f>PROPER(TRIM('📂 Raw Data'!B216))</f>
        <v>Zeba Sharma</v>
      </c>
      <c r="C216" s="16">
        <f>'📂 Raw Data'!C216</f>
        <v>47</v>
      </c>
      <c r="D216" s="16" t="str">
        <f>IF(OR('📂 Raw Data'!D216="M",'📂 Raw Data'!D216="m"),"Male",IF(OR('📂 Raw Data'!D216="F",'📂 Raw Data'!D216="f"),"Female",PROPER('📂 Raw Data'!D216)))</f>
        <v>Male</v>
      </c>
      <c r="E216" s="17" t="str">
        <f>UPPER(TRIM('📂 Raw Data'!E216))</f>
        <v>SALES</v>
      </c>
      <c r="F216" s="16" t="str">
        <f>PROPER(TRIM('📂 Raw Data'!F216))</f>
        <v>Sales Manager</v>
      </c>
      <c r="G216" s="16" t="str">
        <f>IFERROR(IF(ISNUMBER('📂 Raw Data'!G216),TEXT('📂 Raw Data'!G216,"DD-MMM-YYYY"),TEXT(DATEVALUE('📂 Raw Data'!G216),"DD-MMM-YYYY")),"Invalid Date")</f>
        <v>19-Nov-2018</v>
      </c>
      <c r="H216" s="16" t="str">
        <f>PROPER(TRIM('📂 Raw Data'!H216))</f>
        <v>Kolkata</v>
      </c>
      <c r="I216" s="18">
        <f>IFERROR(IF(ISNUMBER('📂 Raw Data'!I216),ABS('📂 Raw Data'!I216),0),0)</f>
        <v>47983</v>
      </c>
      <c r="J216" s="18">
        <f>IFERROR(ABS('📂 Raw Data'!J216),0)</f>
        <v>18026</v>
      </c>
      <c r="K216" s="18">
        <f>IFERROR(ABS('📂 Raw Data'!K216),0)</f>
        <v>14025</v>
      </c>
      <c r="L216" s="18">
        <f>IFERROR(ABS('📂 Raw Data'!L216),0)</f>
        <v>5640</v>
      </c>
      <c r="M216" s="18">
        <f>IFERROR(ABS('📂 Raw Data'!M216),0)</f>
        <v>3412</v>
      </c>
      <c r="N216" s="18">
        <f t="shared" si="3"/>
        <v>89086</v>
      </c>
      <c r="O216" s="16">
        <f>IFERROR(ABS('📂 Raw Data'!O216),0)</f>
        <v>17</v>
      </c>
      <c r="P216" s="20">
        <f>IFERROR(ABS('📂 Raw Data'!P85),0)</f>
        <v>69</v>
      </c>
      <c r="Q216" s="19" t="str">
        <f>'📂 Raw Data'!Q216</f>
        <v>Poor</v>
      </c>
      <c r="R216" s="55" t="str">
        <f>'📂 Raw Data'!R216</f>
        <v>Resigned</v>
      </c>
    </row>
    <row r="217" spans="1:18" ht="18" customHeight="1">
      <c r="A217" s="54" t="str">
        <f>'📂 Raw Data'!A217</f>
        <v>EMP1215</v>
      </c>
      <c r="B217" s="16" t="str">
        <f>PROPER(TRIM('📂 Raw Data'!B217))</f>
        <v>Anjali Qadir</v>
      </c>
      <c r="C217" s="16">
        <f>'📂 Raw Data'!C217</f>
        <v>43</v>
      </c>
      <c r="D217" s="16" t="str">
        <f>IF(OR('📂 Raw Data'!D217="M",'📂 Raw Data'!D217="m"),"Male",IF(OR('📂 Raw Data'!D217="F",'📂 Raw Data'!D217="f"),"Female",PROPER('📂 Raw Data'!D217)))</f>
        <v>Male</v>
      </c>
      <c r="E217" s="17" t="str">
        <f>UPPER(TRIM('📂 Raw Data'!E217))</f>
        <v>HR</v>
      </c>
      <c r="F217" s="16" t="str">
        <f>PROPER(TRIM('📂 Raw Data'!F217))</f>
        <v>Hr Manager</v>
      </c>
      <c r="G217" s="16" t="str">
        <f>IFERROR(IF(ISNUMBER('📂 Raw Data'!G217),TEXT('📂 Raw Data'!G217,"DD-MMM-YYYY"),TEXT(DATEVALUE('📂 Raw Data'!G217),"DD-MMM-YYYY")),"Invalid Date")</f>
        <v>05-Aug-2016</v>
      </c>
      <c r="H217" s="16" t="str">
        <f>PROPER(TRIM('📂 Raw Data'!H217))</f>
        <v>Chennai</v>
      </c>
      <c r="I217" s="18">
        <f>IFERROR(IF(ISNUMBER('📂 Raw Data'!I217),ABS('📂 Raw Data'!I217),0),0)</f>
        <v>68406</v>
      </c>
      <c r="J217" s="18">
        <f>IFERROR(ABS('📂 Raw Data'!J217),0)</f>
        <v>30719</v>
      </c>
      <c r="K217" s="18">
        <f>IFERROR(ABS('📂 Raw Data'!K217),0)</f>
        <v>5899</v>
      </c>
      <c r="L217" s="18">
        <f>IFERROR(ABS('📂 Raw Data'!L217),0)</f>
        <v>2841</v>
      </c>
      <c r="M217" s="18">
        <f>IFERROR(ABS('📂 Raw Data'!M217),0)</f>
        <v>3617</v>
      </c>
      <c r="N217" s="18">
        <f t="shared" si="3"/>
        <v>111482</v>
      </c>
      <c r="O217" s="16">
        <f>IFERROR(ABS('📂 Raw Data'!O217),0)</f>
        <v>17</v>
      </c>
      <c r="P217" s="20">
        <f>IFERROR(ABS('📂 Raw Data'!P86),0)</f>
        <v>80</v>
      </c>
      <c r="Q217" s="19" t="str">
        <f>'📂 Raw Data'!Q217</f>
        <v>Good</v>
      </c>
      <c r="R217" s="55" t="str">
        <f>'📂 Raw Data'!R217</f>
        <v>Active</v>
      </c>
    </row>
    <row r="218" spans="1:18" ht="18" customHeight="1">
      <c r="A218" s="54" t="str">
        <f>'📂 Raw Data'!A218</f>
        <v>EMP1216</v>
      </c>
      <c r="B218" s="16" t="str">
        <f>PROPER(TRIM('📂 Raw Data'!B218))</f>
        <v>Rohit Reddy</v>
      </c>
      <c r="C218" s="16">
        <f>'📂 Raw Data'!C218</f>
        <v>48</v>
      </c>
      <c r="D218" s="16" t="str">
        <f>IF(OR('📂 Raw Data'!D218="M",'📂 Raw Data'!D218="m"),"Male",IF(OR('📂 Raw Data'!D218="F",'📂 Raw Data'!D218="f"),"Female",PROPER('📂 Raw Data'!D218)))</f>
        <v>Male</v>
      </c>
      <c r="E218" s="17" t="str">
        <f>UPPER(TRIM('📂 Raw Data'!E218))</f>
        <v>OPERATIONS</v>
      </c>
      <c r="F218" s="16" t="str">
        <f>PROPER(TRIM('📂 Raw Data'!F218))</f>
        <v>Operations Executive</v>
      </c>
      <c r="G218" s="16" t="str">
        <f>IFERROR(IF(ISNUMBER('📂 Raw Data'!G218),TEXT('📂 Raw Data'!G218,"DD-MMM-YYYY"),TEXT(DATEVALUE('📂 Raw Data'!G218),"DD-MMM-YYYY")),"Invalid Date")</f>
        <v>26-May-2020</v>
      </c>
      <c r="H218" s="16" t="str">
        <f>PROPER(TRIM('📂 Raw Data'!H218))</f>
        <v>Chennai</v>
      </c>
      <c r="I218" s="18">
        <f>IFERROR(IF(ISNUMBER('📂 Raw Data'!I218),ABS('📂 Raw Data'!I218),0),0)</f>
        <v>39160</v>
      </c>
      <c r="J218" s="18">
        <f>IFERROR(ABS('📂 Raw Data'!J218),0)</f>
        <v>17390</v>
      </c>
      <c r="K218" s="18">
        <f>IFERROR(ABS('📂 Raw Data'!K218),0)</f>
        <v>2788</v>
      </c>
      <c r="L218" s="18">
        <f>IFERROR(ABS('📂 Raw Data'!L218),0)</f>
        <v>3161</v>
      </c>
      <c r="M218" s="18">
        <f>IFERROR(ABS('📂 Raw Data'!M218),0)</f>
        <v>4589</v>
      </c>
      <c r="N218" s="18">
        <f t="shared" si="3"/>
        <v>67088</v>
      </c>
      <c r="O218" s="16">
        <f>IFERROR(ABS('📂 Raw Data'!O218),0)</f>
        <v>26</v>
      </c>
      <c r="P218" s="20">
        <f>IFERROR(ABS('📂 Raw Data'!P87),0)</f>
        <v>44</v>
      </c>
      <c r="Q218" s="19" t="str">
        <f>'📂 Raw Data'!Q218</f>
        <v>Below Average</v>
      </c>
      <c r="R218" s="55" t="str">
        <f>'📂 Raw Data'!R218</f>
        <v>Active</v>
      </c>
    </row>
    <row r="219" spans="1:18" ht="18" customHeight="1">
      <c r="A219" s="54" t="str">
        <f>'📂 Raw Data'!A219</f>
        <v>EMP1217</v>
      </c>
      <c r="B219" s="16" t="str">
        <f>PROPER(TRIM('📂 Raw Data'!B219))</f>
        <v>Naina Singh</v>
      </c>
      <c r="C219" s="16">
        <f>'📂 Raw Data'!C219</f>
        <v>26</v>
      </c>
      <c r="D219" s="16" t="str">
        <f>IF(OR('📂 Raw Data'!D219="M",'📂 Raw Data'!D219="m"),"Male",IF(OR('📂 Raw Data'!D219="F",'📂 Raw Data'!D219="f"),"Female",PROPER('📂 Raw Data'!D219)))</f>
        <v>Male</v>
      </c>
      <c r="E219" s="17" t="str">
        <f>UPPER(TRIM('📂 Raw Data'!E219))</f>
        <v>ENGINEERING</v>
      </c>
      <c r="F219" s="16" t="str">
        <f>PROPER(TRIM('📂 Raw Data'!F219))</f>
        <v>Qa Engineer</v>
      </c>
      <c r="G219" s="16" t="str">
        <f>IFERROR(IF(ISNUMBER('📂 Raw Data'!G219),TEXT('📂 Raw Data'!G219,"DD-MMM-YYYY"),TEXT(DATEVALUE('📂 Raw Data'!G219),"DD-MMM-YYYY")),"Invalid Date")</f>
        <v>15-Mar-2018</v>
      </c>
      <c r="H219" s="16" t="str">
        <f>PROPER(TRIM('📂 Raw Data'!H219))</f>
        <v>Bangalore</v>
      </c>
      <c r="I219" s="18">
        <f>IFERROR(IF(ISNUMBER('📂 Raw Data'!I219),ABS('📂 Raw Data'!I219),0),0)</f>
        <v>34661</v>
      </c>
      <c r="J219" s="18">
        <f>IFERROR(ABS('📂 Raw Data'!J219),0)</f>
        <v>15938</v>
      </c>
      <c r="K219" s="18">
        <f>IFERROR(ABS('📂 Raw Data'!K219),0)</f>
        <v>2547</v>
      </c>
      <c r="L219" s="18">
        <f>IFERROR(ABS('📂 Raw Data'!L219),0)</f>
        <v>2415</v>
      </c>
      <c r="M219" s="18">
        <f>IFERROR(ABS('📂 Raw Data'!M219),0)</f>
        <v>1164</v>
      </c>
      <c r="N219" s="18">
        <f t="shared" si="3"/>
        <v>56725</v>
      </c>
      <c r="O219" s="16">
        <f>IFERROR(ABS('📂 Raw Data'!O219),0)</f>
        <v>20</v>
      </c>
      <c r="P219" s="20">
        <f>IFERROR(ABS('📂 Raw Data'!P88),0)</f>
        <v>77</v>
      </c>
      <c r="Q219" s="19" t="str">
        <f>'📂 Raw Data'!Q219</f>
        <v>Excellent</v>
      </c>
      <c r="R219" s="55" t="str">
        <f>'📂 Raw Data'!R219</f>
        <v>Active</v>
      </c>
    </row>
    <row r="220" spans="1:18" ht="18" customHeight="1">
      <c r="A220" s="54" t="str">
        <f>'📂 Raw Data'!A220</f>
        <v>EMP1218</v>
      </c>
      <c r="B220" s="16" t="str">
        <f>PROPER(TRIM('📂 Raw Data'!B220))</f>
        <v>Harsh Qadir</v>
      </c>
      <c r="C220" s="16">
        <f>'📂 Raw Data'!C220</f>
        <v>32</v>
      </c>
      <c r="D220" s="16" t="str">
        <f>IF(OR('📂 Raw Data'!D220="M",'📂 Raw Data'!D220="m"),"Male",IF(OR('📂 Raw Data'!D220="F",'📂 Raw Data'!D220="f"),"Female",PROPER('📂 Raw Data'!D220)))</f>
        <v>Female</v>
      </c>
      <c r="E220" s="17" t="str">
        <f>UPPER(TRIM('📂 Raw Data'!E220))</f>
        <v>MARKETING</v>
      </c>
      <c r="F220" s="16" t="str">
        <f>PROPER(TRIM('📂 Raw Data'!F220))</f>
        <v>Marketing Executive</v>
      </c>
      <c r="G220" s="16" t="str">
        <f>IFERROR(IF(ISNUMBER('📂 Raw Data'!G220),TEXT('📂 Raw Data'!G220,"DD-MMM-YYYY"),TEXT(DATEVALUE('📂 Raw Data'!G220),"DD-MMM-YYYY")),"Invalid Date")</f>
        <v>20-Oct-2020</v>
      </c>
      <c r="H220" s="16" t="str">
        <f>PROPER(TRIM('📂 Raw Data'!H220))</f>
        <v>Mumbai</v>
      </c>
      <c r="I220" s="18">
        <f>IFERROR(IF(ISNUMBER('📂 Raw Data'!I220),ABS('📂 Raw Data'!I220),0),0)</f>
        <v>88273</v>
      </c>
      <c r="J220" s="18">
        <f>IFERROR(ABS('📂 Raw Data'!J220),0)</f>
        <v>38920</v>
      </c>
      <c r="K220" s="18">
        <f>IFERROR(ABS('📂 Raw Data'!K220),0)</f>
        <v>9066</v>
      </c>
      <c r="L220" s="18">
        <f>IFERROR(ABS('📂 Raw Data'!L220),0)</f>
        <v>7720</v>
      </c>
      <c r="M220" s="18">
        <f>IFERROR(ABS('📂 Raw Data'!M220),0)</f>
        <v>6354</v>
      </c>
      <c r="N220" s="18">
        <f t="shared" si="3"/>
        <v>150333</v>
      </c>
      <c r="O220" s="16">
        <f>IFERROR(ABS('📂 Raw Data'!O220),0)</f>
        <v>17</v>
      </c>
      <c r="P220" s="20">
        <f>IFERROR(ABS('📂 Raw Data'!P89),0)</f>
        <v>64</v>
      </c>
      <c r="Q220" s="19" t="str">
        <f>'📂 Raw Data'!Q220</f>
        <v>Good</v>
      </c>
      <c r="R220" s="55" t="str">
        <f>'📂 Raw Data'!R220</f>
        <v>Active</v>
      </c>
    </row>
    <row r="221" spans="1:18" ht="18" customHeight="1">
      <c r="A221" s="54" t="str">
        <f>'📂 Raw Data'!A221</f>
        <v>EMP1219</v>
      </c>
      <c r="B221" s="16" t="str">
        <f>PROPER(TRIM('📂 Raw Data'!B221))</f>
        <v>Sanjay Eapen</v>
      </c>
      <c r="C221" s="16">
        <f>'📂 Raw Data'!C221</f>
        <v>45</v>
      </c>
      <c r="D221" s="16" t="str">
        <f>IF(OR('📂 Raw Data'!D221="M",'📂 Raw Data'!D221="m"),"Male",IF(OR('📂 Raw Data'!D221="F",'📂 Raw Data'!D221="f"),"Female",PROPER('📂 Raw Data'!D221)))</f>
        <v>Male</v>
      </c>
      <c r="E221" s="17" t="str">
        <f>UPPER(TRIM('📂 Raw Data'!E221))</f>
        <v>FINANCE</v>
      </c>
      <c r="F221" s="16" t="str">
        <f>PROPER(TRIM('📂 Raw Data'!F221))</f>
        <v>Finance Manager</v>
      </c>
      <c r="G221" s="16" t="str">
        <f>IFERROR(IF(ISNUMBER('📂 Raw Data'!G221),TEXT('📂 Raw Data'!G221,"DD-MMM-YYYY"),TEXT(DATEVALUE('📂 Raw Data'!G221),"DD-MMM-YYYY")),"Invalid Date")</f>
        <v>08-May-2019</v>
      </c>
      <c r="H221" s="16" t="str">
        <f>PROPER(TRIM('📂 Raw Data'!H221))</f>
        <v>Mumbai</v>
      </c>
      <c r="I221" s="18">
        <f>IFERROR(IF(ISNUMBER('📂 Raw Data'!I221),ABS('📂 Raw Data'!I221),0),0)</f>
        <v>37571</v>
      </c>
      <c r="J221" s="18">
        <f>IFERROR(ABS('📂 Raw Data'!J221),0)</f>
        <v>11644</v>
      </c>
      <c r="K221" s="18">
        <f>IFERROR(ABS('📂 Raw Data'!K221),0)</f>
        <v>11367</v>
      </c>
      <c r="L221" s="18">
        <f>IFERROR(ABS('📂 Raw Data'!L221),0)</f>
        <v>4502</v>
      </c>
      <c r="M221" s="18">
        <f>IFERROR(ABS('📂 Raw Data'!M221),0)</f>
        <v>7880</v>
      </c>
      <c r="N221" s="18">
        <f t="shared" si="3"/>
        <v>72964</v>
      </c>
      <c r="O221" s="16">
        <f>IFERROR(ABS('📂 Raw Data'!O221),0)</f>
        <v>22</v>
      </c>
      <c r="P221" s="20">
        <f>IFERROR(ABS('📂 Raw Data'!P90),0)</f>
        <v>81</v>
      </c>
      <c r="Q221" s="19" t="str">
        <f>'📂 Raw Data'!Q221</f>
        <v>Poor</v>
      </c>
      <c r="R221" s="55" t="str">
        <f>'📂 Raw Data'!R221</f>
        <v>Active</v>
      </c>
    </row>
    <row r="222" spans="1:18" ht="18" customHeight="1">
      <c r="A222" s="54" t="str">
        <f>'📂 Raw Data'!A222</f>
        <v>EMP1220</v>
      </c>
      <c r="B222" s="16" t="str">
        <f>PROPER(TRIM('📂 Raw Data'!B222))</f>
        <v>Anjali Rao</v>
      </c>
      <c r="C222" s="16">
        <f>'📂 Raw Data'!C222</f>
        <v>52</v>
      </c>
      <c r="D222" s="16" t="str">
        <f>IF(OR('📂 Raw Data'!D222="M",'📂 Raw Data'!D222="m"),"Male",IF(OR('📂 Raw Data'!D222="F",'📂 Raw Data'!D222="f"),"Female",PROPER('📂 Raw Data'!D222)))</f>
        <v>Female</v>
      </c>
      <c r="E222" s="17" t="str">
        <f>UPPER(TRIM('📂 Raw Data'!E222))</f>
        <v>FINANCE</v>
      </c>
      <c r="F222" s="16" t="str">
        <f>PROPER(TRIM('📂 Raw Data'!F222))</f>
        <v>Senior Accountant</v>
      </c>
      <c r="G222" s="16" t="str">
        <f>IFERROR(IF(ISNUMBER('📂 Raw Data'!G222),TEXT('📂 Raw Data'!G222,"DD-MMM-YYYY"),TEXT(DATEVALUE('📂 Raw Data'!G222),"DD-MMM-YYYY")),"Invalid Date")</f>
        <v>07-Jan-2016</v>
      </c>
      <c r="H222" s="16" t="str">
        <f>PROPER(TRIM('📂 Raw Data'!H222))</f>
        <v>Chennai</v>
      </c>
      <c r="I222" s="18">
        <f>IFERROR(IF(ISNUMBER('📂 Raw Data'!I222),ABS('📂 Raw Data'!I222),0),0)</f>
        <v>47391</v>
      </c>
      <c r="J222" s="18">
        <f>IFERROR(ABS('📂 Raw Data'!J222),0)</f>
        <v>20266</v>
      </c>
      <c r="K222" s="18">
        <f>IFERROR(ABS('📂 Raw Data'!K222),0)</f>
        <v>3342</v>
      </c>
      <c r="L222" s="18">
        <f>IFERROR(ABS('📂 Raw Data'!L222),0)</f>
        <v>3879</v>
      </c>
      <c r="M222" s="18">
        <f>IFERROR(ABS('📂 Raw Data'!M222),0)</f>
        <v>7912</v>
      </c>
      <c r="N222" s="18">
        <f t="shared" si="3"/>
        <v>82790</v>
      </c>
      <c r="O222" s="16">
        <f>IFERROR(ABS('📂 Raw Data'!O222),0)</f>
        <v>16</v>
      </c>
      <c r="P222" s="20">
        <f>IFERROR(ABS('📂 Raw Data'!P91),0)</f>
        <v>90</v>
      </c>
      <c r="Q222" s="19" t="str">
        <f>'📂 Raw Data'!Q222</f>
        <v>Poor</v>
      </c>
      <c r="R222" s="55" t="str">
        <f>'📂 Raw Data'!R222</f>
        <v>On Leave</v>
      </c>
    </row>
    <row r="223" spans="1:18" ht="18" customHeight="1">
      <c r="A223" s="54" t="str">
        <f>'📂 Raw Data'!A223</f>
        <v>EMP1221</v>
      </c>
      <c r="B223" s="16" t="str">
        <f>PROPER(TRIM('📂 Raw Data'!B223))</f>
        <v>Manish Chopra</v>
      </c>
      <c r="C223" s="16">
        <f>'📂 Raw Data'!C223</f>
        <v>25</v>
      </c>
      <c r="D223" s="16" t="str">
        <f>IF(OR('📂 Raw Data'!D223="M",'📂 Raw Data'!D223="m"),"Male",IF(OR('📂 Raw Data'!D223="F",'📂 Raw Data'!D223="f"),"Female",PROPER('📂 Raw Data'!D223)))</f>
        <v>Female</v>
      </c>
      <c r="E223" s="17" t="str">
        <f>UPPER(TRIM('📂 Raw Data'!E223))</f>
        <v>FINANCE</v>
      </c>
      <c r="F223" s="16" t="str">
        <f>PROPER(TRIM('📂 Raw Data'!F223))</f>
        <v>Senior Accountant</v>
      </c>
      <c r="G223" s="16" t="str">
        <f>IFERROR(IF(ISNUMBER('📂 Raw Data'!G223),TEXT('📂 Raw Data'!G223,"DD-MMM-YYYY"),TEXT(DATEVALUE('📂 Raw Data'!G223),"DD-MMM-YYYY")),"Invalid Date")</f>
        <v>07-Jan-2020</v>
      </c>
      <c r="H223" s="16" t="str">
        <f>PROPER(TRIM('📂 Raw Data'!H223))</f>
        <v>Delhi</v>
      </c>
      <c r="I223" s="18">
        <f>IFERROR(IF(ISNUMBER('📂 Raw Data'!I223),ABS('📂 Raw Data'!I223),0),0)</f>
        <v>49455</v>
      </c>
      <c r="J223" s="18">
        <f>IFERROR(ABS('📂 Raw Data'!J223),0)</f>
        <v>19246</v>
      </c>
      <c r="K223" s="18">
        <f>IFERROR(ABS('📂 Raw Data'!K223),0)</f>
        <v>6313</v>
      </c>
      <c r="L223" s="18">
        <f>IFERROR(ABS('📂 Raw Data'!L223),0)</f>
        <v>3602</v>
      </c>
      <c r="M223" s="18">
        <f>IFERROR(ABS('📂 Raw Data'!M223),0)</f>
        <v>4809</v>
      </c>
      <c r="N223" s="18">
        <f t="shared" si="3"/>
        <v>83425</v>
      </c>
      <c r="O223" s="16">
        <f>IFERROR(ABS('📂 Raw Data'!O223),0)</f>
        <v>19</v>
      </c>
      <c r="P223" s="20">
        <f>IFERROR(ABS('📂 Raw Data'!P92),0)</f>
        <v>82</v>
      </c>
      <c r="Q223" s="19" t="str">
        <f>'📂 Raw Data'!Q223</f>
        <v>Excellent</v>
      </c>
      <c r="R223" s="55" t="str">
        <f>'📂 Raw Data'!R223</f>
        <v>On Leave</v>
      </c>
    </row>
    <row r="224" spans="1:18" ht="18" customHeight="1">
      <c r="A224" s="54" t="str">
        <f>'📂 Raw Data'!A224</f>
        <v>EMP1222</v>
      </c>
      <c r="B224" s="16" t="str">
        <f>PROPER(TRIM('📂 Raw Data'!B224))</f>
        <v>Sanjay Zafar</v>
      </c>
      <c r="C224" s="16">
        <f>'📂 Raw Data'!C224</f>
        <v>37</v>
      </c>
      <c r="D224" s="16" t="str">
        <f>IF(OR('📂 Raw Data'!D224="M",'📂 Raw Data'!D224="m"),"Male",IF(OR('📂 Raw Data'!D224="F",'📂 Raw Data'!D224="f"),"Female",PROPER('📂 Raw Data'!D224)))</f>
        <v>Female</v>
      </c>
      <c r="E224" s="17" t="str">
        <f>UPPER(TRIM('📂 Raw Data'!E224))</f>
        <v>OPERATIONS</v>
      </c>
      <c r="F224" s="16" t="str">
        <f>PROPER(TRIM('📂 Raw Data'!F224))</f>
        <v>Admin Officer</v>
      </c>
      <c r="G224" s="16" t="str">
        <f>IFERROR(IF(ISNUMBER('📂 Raw Data'!G224),TEXT('📂 Raw Data'!G224,"DD-MMM-YYYY"),TEXT(DATEVALUE('📂 Raw Data'!G224),"DD-MMM-YYYY")),"Invalid Date")</f>
        <v>25-Jul-2023</v>
      </c>
      <c r="H224" s="16" t="str">
        <f>PROPER(TRIM('📂 Raw Data'!H224))</f>
        <v>Chennai</v>
      </c>
      <c r="I224" s="18">
        <f>IFERROR(IF(ISNUMBER('📂 Raw Data'!I224),ABS('📂 Raw Data'!I224),0),0)</f>
        <v>102296</v>
      </c>
      <c r="J224" s="18">
        <f>IFERROR(ABS('📂 Raw Data'!J224),0)</f>
        <v>35344</v>
      </c>
      <c r="K224" s="18">
        <f>IFERROR(ABS('📂 Raw Data'!K224),0)</f>
        <v>2999</v>
      </c>
      <c r="L224" s="18">
        <f>IFERROR(ABS('📂 Raw Data'!L224),0)</f>
        <v>6887</v>
      </c>
      <c r="M224" s="18">
        <f>IFERROR(ABS('📂 Raw Data'!M224),0)</f>
        <v>4171</v>
      </c>
      <c r="N224" s="18">
        <f t="shared" si="3"/>
        <v>151697</v>
      </c>
      <c r="O224" s="16">
        <f>IFERROR(ABS('📂 Raw Data'!O224),0)</f>
        <v>23</v>
      </c>
      <c r="P224" s="20">
        <f>IFERROR(ABS('📂 Raw Data'!P93),0)</f>
        <v>72</v>
      </c>
      <c r="Q224" s="19" t="str">
        <f>'📂 Raw Data'!Q224</f>
        <v>Excellent</v>
      </c>
      <c r="R224" s="55" t="str">
        <f>'📂 Raw Data'!R224</f>
        <v>Active</v>
      </c>
    </row>
    <row r="225" spans="1:18" ht="18" customHeight="1">
      <c r="A225" s="54" t="str">
        <f>'📂 Raw Data'!A225</f>
        <v>EMP1223</v>
      </c>
      <c r="B225" s="16" t="str">
        <f>PROPER(TRIM('📂 Raw Data'!B225))</f>
        <v>Riya Bhatia</v>
      </c>
      <c r="C225" s="16">
        <f>'📂 Raw Data'!C225</f>
        <v>34</v>
      </c>
      <c r="D225" s="16" t="str">
        <f>IF(OR('📂 Raw Data'!D225="M",'📂 Raw Data'!D225="m"),"Male",IF(OR('📂 Raw Data'!D225="F",'📂 Raw Data'!D225="f"),"Female",PROPER('📂 Raw Data'!D225)))</f>
        <v>Female</v>
      </c>
      <c r="E225" s="17" t="str">
        <f>UPPER(TRIM('📂 Raw Data'!E225))</f>
        <v>MARKETING</v>
      </c>
      <c r="F225" s="16" t="str">
        <f>PROPER(TRIM('📂 Raw Data'!F225))</f>
        <v>Content Writer</v>
      </c>
      <c r="G225" s="16" t="str">
        <f>IFERROR(IF(ISNUMBER('📂 Raw Data'!G225),TEXT('📂 Raw Data'!G225,"DD-MMM-YYYY"),TEXT(DATEVALUE('📂 Raw Data'!G225),"DD-MMM-YYYY")),"Invalid Date")</f>
        <v>06-Aug-2016</v>
      </c>
      <c r="H225" s="16" t="str">
        <f>PROPER(TRIM('📂 Raw Data'!H225))</f>
        <v>Kolkata</v>
      </c>
      <c r="I225" s="18">
        <f>IFERROR(IF(ISNUMBER('📂 Raw Data'!I225),ABS('📂 Raw Data'!I225),0),0)</f>
        <v>46910</v>
      </c>
      <c r="J225" s="18">
        <f>IFERROR(ABS('📂 Raw Data'!J225),0)</f>
        <v>23194</v>
      </c>
      <c r="K225" s="18">
        <f>IFERROR(ABS('📂 Raw Data'!K225),0)</f>
        <v>5157</v>
      </c>
      <c r="L225" s="18">
        <f>IFERROR(ABS('📂 Raw Data'!L225),0)</f>
        <v>1033</v>
      </c>
      <c r="M225" s="18">
        <f>IFERROR(ABS('📂 Raw Data'!M225),0)</f>
        <v>1349</v>
      </c>
      <c r="N225" s="18">
        <f t="shared" si="3"/>
        <v>77643</v>
      </c>
      <c r="O225" s="16">
        <f>IFERROR(ABS('📂 Raw Data'!O225),0)</f>
        <v>21</v>
      </c>
      <c r="P225" s="20">
        <f>IFERROR(ABS('📂 Raw Data'!P94),0)</f>
        <v>93</v>
      </c>
      <c r="Q225" s="19" t="str">
        <f>'📂 Raw Data'!Q225</f>
        <v>Average</v>
      </c>
      <c r="R225" s="55" t="str">
        <f>'📂 Raw Data'!R225</f>
        <v>On Leave</v>
      </c>
    </row>
    <row r="226" spans="1:18" ht="18" customHeight="1">
      <c r="A226" s="54" t="str">
        <f>'📂 Raw Data'!A226</f>
        <v>EMP1224</v>
      </c>
      <c r="B226" s="16" t="str">
        <f>PROPER(TRIM('📂 Raw Data'!B226))</f>
        <v>Riya Hassan</v>
      </c>
      <c r="C226" s="16">
        <f>'📂 Raw Data'!C226</f>
        <v>29</v>
      </c>
      <c r="D226" s="16" t="str">
        <f>IF(OR('📂 Raw Data'!D226="M",'📂 Raw Data'!D226="m"),"Male",IF(OR('📂 Raw Data'!D226="F",'📂 Raw Data'!D226="f"),"Female",PROPER('📂 Raw Data'!D226)))</f>
        <v>Female</v>
      </c>
      <c r="E226" s="17" t="str">
        <f>UPPER(TRIM('📂 Raw Data'!E226))</f>
        <v>HR</v>
      </c>
      <c r="F226" s="16" t="str">
        <f>PROPER(TRIM('📂 Raw Data'!F226))</f>
        <v>Hr Executive</v>
      </c>
      <c r="G226" s="16" t="str">
        <f>IFERROR(IF(ISNUMBER('📂 Raw Data'!G226),TEXT('📂 Raw Data'!G226,"DD-MMM-YYYY"),TEXT(DATEVALUE('📂 Raw Data'!G226),"DD-MMM-YYYY")),"Invalid Date")</f>
        <v>18-Jul-2016</v>
      </c>
      <c r="H226" s="16" t="str">
        <f>PROPER(TRIM('📂 Raw Data'!H226))</f>
        <v>Chennai</v>
      </c>
      <c r="I226" s="18">
        <f>IFERROR(IF(ISNUMBER('📂 Raw Data'!I226),ABS('📂 Raw Data'!I226),0),0)</f>
        <v>77082</v>
      </c>
      <c r="J226" s="18">
        <f>IFERROR(ABS('📂 Raw Data'!J226),0)</f>
        <v>31635</v>
      </c>
      <c r="K226" s="18">
        <f>IFERROR(ABS('📂 Raw Data'!K226),0)</f>
        <v>6525</v>
      </c>
      <c r="L226" s="18">
        <f>IFERROR(ABS('📂 Raw Data'!L226),0)</f>
        <v>4257</v>
      </c>
      <c r="M226" s="18">
        <f>IFERROR(ABS('📂 Raw Data'!M226),0)</f>
        <v>4753</v>
      </c>
      <c r="N226" s="18">
        <f t="shared" si="3"/>
        <v>124252</v>
      </c>
      <c r="O226" s="16">
        <f>IFERROR(ABS('📂 Raw Data'!O226),0)</f>
        <v>15</v>
      </c>
      <c r="P226" s="20">
        <f>IFERROR(ABS('📂 Raw Data'!P95),0)</f>
        <v>66</v>
      </c>
      <c r="Q226" s="19" t="str">
        <f>'📂 Raw Data'!Q226</f>
        <v>Poor</v>
      </c>
      <c r="R226" s="55" t="str">
        <f>'📂 Raw Data'!R226</f>
        <v>Active</v>
      </c>
    </row>
    <row r="227" spans="1:18" ht="18" customHeight="1">
      <c r="A227" s="54" t="str">
        <f>'📂 Raw Data'!A227</f>
        <v>EMP1225</v>
      </c>
      <c r="B227" s="16" t="str">
        <f>PROPER(TRIM('📂 Raw Data'!B227))</f>
        <v>Gaurav Malhotra</v>
      </c>
      <c r="C227" s="16">
        <f>'📂 Raw Data'!C227</f>
        <v>53</v>
      </c>
      <c r="D227" s="16" t="str">
        <f>IF(OR('📂 Raw Data'!D227="M",'📂 Raw Data'!D227="m"),"Male",IF(OR('📂 Raw Data'!D227="F",'📂 Raw Data'!D227="f"),"Female",PROPER('📂 Raw Data'!D227)))</f>
        <v>Female</v>
      </c>
      <c r="E227" s="17" t="str">
        <f>UPPER(TRIM('📂 Raw Data'!E227))</f>
        <v>MARKETING</v>
      </c>
      <c r="F227" s="16" t="str">
        <f>PROPER(TRIM('📂 Raw Data'!F227))</f>
        <v>Marketing Executive</v>
      </c>
      <c r="G227" s="16" t="str">
        <f>IFERROR(IF(ISNUMBER('📂 Raw Data'!G227),TEXT('📂 Raw Data'!G227,"DD-MMM-YYYY"),TEXT(DATEVALUE('📂 Raw Data'!G227),"DD-MMM-YYYY")),"Invalid Date")</f>
        <v>25-Oct-2016</v>
      </c>
      <c r="H227" s="16" t="str">
        <f>PROPER(TRIM('📂 Raw Data'!H227))</f>
        <v>Hyderabad</v>
      </c>
      <c r="I227" s="18">
        <f>IFERROR(IF(ISNUMBER('📂 Raw Data'!I227),ABS('📂 Raw Data'!I227),0),0)</f>
        <v>38237</v>
      </c>
      <c r="J227" s="18">
        <f>IFERROR(ABS('📂 Raw Data'!J227),0)</f>
        <v>17480</v>
      </c>
      <c r="K227" s="18">
        <f>IFERROR(ABS('📂 Raw Data'!K227),0)</f>
        <v>10775</v>
      </c>
      <c r="L227" s="18">
        <f>IFERROR(ABS('📂 Raw Data'!L227),0)</f>
        <v>7210</v>
      </c>
      <c r="M227" s="18">
        <f>IFERROR(ABS('📂 Raw Data'!M227),0)</f>
        <v>3816</v>
      </c>
      <c r="N227" s="18">
        <f t="shared" si="3"/>
        <v>77518</v>
      </c>
      <c r="O227" s="16">
        <f>IFERROR(ABS('📂 Raw Data'!O227),0)</f>
        <v>21</v>
      </c>
      <c r="P227" s="20">
        <f>IFERROR(ABS('📂 Raw Data'!P96),0)</f>
        <v>89</v>
      </c>
      <c r="Q227" s="19" t="str">
        <f>'📂 Raw Data'!Q227</f>
        <v>Good</v>
      </c>
      <c r="R227" s="55" t="str">
        <f>'📂 Raw Data'!R227</f>
        <v>Resigned</v>
      </c>
    </row>
    <row r="228" spans="1:18" ht="18" customHeight="1">
      <c r="A228" s="54" t="str">
        <f>'📂 Raw Data'!A228</f>
        <v>EMP1226</v>
      </c>
      <c r="B228" s="16" t="str">
        <f>PROPER(TRIM('📂 Raw Data'!B228))</f>
        <v>Uma Pillai</v>
      </c>
      <c r="C228" s="16">
        <f>'📂 Raw Data'!C228</f>
        <v>52</v>
      </c>
      <c r="D228" s="16" t="str">
        <f>IF(OR('📂 Raw Data'!D228="M",'📂 Raw Data'!D228="m"),"Male",IF(OR('📂 Raw Data'!D228="F",'📂 Raw Data'!D228="f"),"Female",PROPER('📂 Raw Data'!D228)))</f>
        <v>Male</v>
      </c>
      <c r="E228" s="17" t="str">
        <f>UPPER(TRIM('📂 Raw Data'!E228))</f>
        <v>HR</v>
      </c>
      <c r="F228" s="16" t="str">
        <f>PROPER(TRIM('📂 Raw Data'!F228))</f>
        <v>Training Coordinator</v>
      </c>
      <c r="G228" s="16" t="str">
        <f>IFERROR(IF(ISNUMBER('📂 Raw Data'!G228),TEXT('📂 Raw Data'!G228,"DD-MMM-YYYY"),TEXT(DATEVALUE('📂 Raw Data'!G228),"DD-MMM-YYYY")),"Invalid Date")</f>
        <v>20-Oct-2017</v>
      </c>
      <c r="H228" s="16" t="str">
        <f>PROPER(TRIM('📂 Raw Data'!H228))</f>
        <v>Bangalore</v>
      </c>
      <c r="I228" s="18">
        <f>IFERROR(IF(ISNUMBER('📂 Raw Data'!I228),ABS('📂 Raw Data'!I228),0),0)</f>
        <v>0</v>
      </c>
      <c r="J228" s="18">
        <f>IFERROR(ABS('📂 Raw Data'!J228),0)</f>
        <v>50119</v>
      </c>
      <c r="K228" s="18">
        <f>IFERROR(ABS('📂 Raw Data'!K228),0)</f>
        <v>2635</v>
      </c>
      <c r="L228" s="18">
        <f>IFERROR(ABS('📂 Raw Data'!L228),0)</f>
        <v>3242</v>
      </c>
      <c r="M228" s="18">
        <f>IFERROR(ABS('📂 Raw Data'!M228),0)</f>
        <v>3715</v>
      </c>
      <c r="N228" s="18">
        <f t="shared" si="3"/>
        <v>59711</v>
      </c>
      <c r="O228" s="16">
        <f>IFERROR(ABS('📂 Raw Data'!O228),0)</f>
        <v>26</v>
      </c>
      <c r="P228" s="20">
        <f>IFERROR(ABS('📂 Raw Data'!P97),0)</f>
        <v>94</v>
      </c>
      <c r="Q228" s="19" t="str">
        <f>'📂 Raw Data'!Q228</f>
        <v>Average</v>
      </c>
      <c r="R228" s="55" t="str">
        <f>'📂 Raw Data'!R228</f>
        <v>Active</v>
      </c>
    </row>
    <row r="229" spans="1:18" ht="18" customHeight="1">
      <c r="A229" s="54" t="str">
        <f>'📂 Raw Data'!A229</f>
        <v>EMP1227</v>
      </c>
      <c r="B229" s="16" t="str">
        <f>PROPER(TRIM('📂 Raw Data'!B229))</f>
        <v>Usha Mehta</v>
      </c>
      <c r="C229" s="16">
        <f>'📂 Raw Data'!C229</f>
        <v>39</v>
      </c>
      <c r="D229" s="16" t="str">
        <f>IF(OR('📂 Raw Data'!D229="M",'📂 Raw Data'!D229="m"),"Male",IF(OR('📂 Raw Data'!D229="F",'📂 Raw Data'!D229="f"),"Female",PROPER('📂 Raw Data'!D229)))</f>
        <v>Female</v>
      </c>
      <c r="E229" s="17" t="str">
        <f>UPPER(TRIM('📂 Raw Data'!E229))</f>
        <v>HR</v>
      </c>
      <c r="F229" s="16" t="str">
        <f>PROPER(TRIM('📂 Raw Data'!F229))</f>
        <v>Recruiter</v>
      </c>
      <c r="G229" s="16" t="str">
        <f>IFERROR(IF(ISNUMBER('📂 Raw Data'!G229),TEXT('📂 Raw Data'!G229,"DD-MMM-YYYY"),TEXT(DATEVALUE('📂 Raw Data'!G229),"DD-MMM-YYYY")),"Invalid Date")</f>
        <v>22-Dec-2022</v>
      </c>
      <c r="H229" s="16" t="str">
        <f>PROPER(TRIM('📂 Raw Data'!H229))</f>
        <v>Pune</v>
      </c>
      <c r="I229" s="18">
        <f>IFERROR(IF(ISNUMBER('📂 Raw Data'!I229),ABS('📂 Raw Data'!I229),0),0)</f>
        <v>37873</v>
      </c>
      <c r="J229" s="18">
        <f>IFERROR(ABS('📂 Raw Data'!J229),0)</f>
        <v>18728</v>
      </c>
      <c r="K229" s="18">
        <f>IFERROR(ABS('📂 Raw Data'!K229),0)</f>
        <v>5734</v>
      </c>
      <c r="L229" s="18">
        <f>IFERROR(ABS('📂 Raw Data'!L229),0)</f>
        <v>1100</v>
      </c>
      <c r="M229" s="18">
        <f>IFERROR(ABS('📂 Raw Data'!M229),0)</f>
        <v>3461</v>
      </c>
      <c r="N229" s="18">
        <f t="shared" si="3"/>
        <v>66896</v>
      </c>
      <c r="O229" s="16">
        <f>IFERROR(ABS('📂 Raw Data'!O229),0)</f>
        <v>26</v>
      </c>
      <c r="P229" s="20">
        <f>IFERROR(ABS('📂 Raw Data'!P98),0)</f>
        <v>72</v>
      </c>
      <c r="Q229" s="19" t="str">
        <f>'📂 Raw Data'!Q229</f>
        <v>Excellent</v>
      </c>
      <c r="R229" s="55" t="str">
        <f>'📂 Raw Data'!R229</f>
        <v>Active</v>
      </c>
    </row>
    <row r="230" spans="1:18" ht="18" customHeight="1">
      <c r="A230" s="54" t="str">
        <f>'📂 Raw Data'!A230</f>
        <v>EMP1228</v>
      </c>
      <c r="B230" s="16" t="str">
        <f>PROPER(TRIM('📂 Raw Data'!B230))</f>
        <v>Arun Zafar</v>
      </c>
      <c r="C230" s="16">
        <f>'📂 Raw Data'!C230</f>
        <v>26</v>
      </c>
      <c r="D230" s="16" t="str">
        <f>IF(OR('📂 Raw Data'!D230="M",'📂 Raw Data'!D230="m"),"Male",IF(OR('📂 Raw Data'!D230="F",'📂 Raw Data'!D230="f"),"Female",PROPER('📂 Raw Data'!D230)))</f>
        <v>Male</v>
      </c>
      <c r="E230" s="17" t="str">
        <f>UPPER(TRIM('📂 Raw Data'!E230))</f>
        <v>SALES</v>
      </c>
      <c r="F230" s="16" t="str">
        <f>PROPER(TRIM('📂 Raw Data'!F230))</f>
        <v>Business Dev</v>
      </c>
      <c r="G230" s="16" t="str">
        <f>IFERROR(IF(ISNUMBER('📂 Raw Data'!G230),TEXT('📂 Raw Data'!G230,"DD-MMM-YYYY"),TEXT(DATEVALUE('📂 Raw Data'!G230),"DD-MMM-YYYY")),"Invalid Date")</f>
        <v>24-Jul-2018</v>
      </c>
      <c r="H230" s="16" t="str">
        <f>PROPER(TRIM('📂 Raw Data'!H230))</f>
        <v>Bangalore</v>
      </c>
      <c r="I230" s="18">
        <f>IFERROR(IF(ISNUMBER('📂 Raw Data'!I230),ABS('📂 Raw Data'!I230),0),0)</f>
        <v>88499</v>
      </c>
      <c r="J230" s="18">
        <f>IFERROR(ABS('📂 Raw Data'!J230),0)</f>
        <v>39993</v>
      </c>
      <c r="K230" s="18">
        <f>IFERROR(ABS('📂 Raw Data'!K230),0)</f>
        <v>8126</v>
      </c>
      <c r="L230" s="18">
        <f>IFERROR(ABS('📂 Raw Data'!L230),0)</f>
        <v>6725</v>
      </c>
      <c r="M230" s="18">
        <f>IFERROR(ABS('📂 Raw Data'!M230),0)</f>
        <v>1460</v>
      </c>
      <c r="N230" s="18">
        <f t="shared" si="3"/>
        <v>144803</v>
      </c>
      <c r="O230" s="16">
        <f>IFERROR(ABS('📂 Raw Data'!O230),0)</f>
        <v>23</v>
      </c>
      <c r="P230" s="20">
        <f>IFERROR(ABS('📂 Raw Data'!P99),0)</f>
        <v>88</v>
      </c>
      <c r="Q230" s="19" t="str">
        <f>'📂 Raw Data'!Q230</f>
        <v>Good</v>
      </c>
      <c r="R230" s="55" t="str">
        <f>'📂 Raw Data'!R230</f>
        <v>On Leave</v>
      </c>
    </row>
    <row r="231" spans="1:18" ht="18" customHeight="1">
      <c r="A231" s="54" t="str">
        <f>'📂 Raw Data'!A231</f>
        <v>EMP1229</v>
      </c>
      <c r="B231" s="16" t="str">
        <f>PROPER(TRIM('📂 Raw Data'!B231))</f>
        <v>Waqar Nair</v>
      </c>
      <c r="C231" s="16">
        <f>'📂 Raw Data'!C231</f>
        <v>34</v>
      </c>
      <c r="D231" s="16" t="str">
        <f>IF(OR('📂 Raw Data'!D231="M",'📂 Raw Data'!D231="m"),"Male",IF(OR('📂 Raw Data'!D231="F",'📂 Raw Data'!D231="f"),"Female",PROPER('📂 Raw Data'!D231)))</f>
        <v>Female</v>
      </c>
      <c r="E231" s="17" t="str">
        <f>UPPER(TRIM('📂 Raw Data'!E231))</f>
        <v>MARKETING</v>
      </c>
      <c r="F231" s="16" t="str">
        <f>PROPER(TRIM('📂 Raw Data'!F231))</f>
        <v>Marketing Executive</v>
      </c>
      <c r="G231" s="16" t="str">
        <f>IFERROR(IF(ISNUMBER('📂 Raw Data'!G231),TEXT('📂 Raw Data'!G231,"DD-MMM-YYYY"),TEXT(DATEVALUE('📂 Raw Data'!G231),"DD-MMM-YYYY")),"Invalid Date")</f>
        <v>27-Apr-2017</v>
      </c>
      <c r="H231" s="16" t="str">
        <f>PROPER(TRIM('📂 Raw Data'!H231))</f>
        <v>Bangalore</v>
      </c>
      <c r="I231" s="18">
        <f>IFERROR(IF(ISNUMBER('📂 Raw Data'!I231),ABS('📂 Raw Data'!I231),0),0)</f>
        <v>51309</v>
      </c>
      <c r="J231" s="18">
        <f>IFERROR(ABS('📂 Raw Data'!J231),0)</f>
        <v>23982</v>
      </c>
      <c r="K231" s="18">
        <f>IFERROR(ABS('📂 Raw Data'!K231),0)</f>
        <v>6087</v>
      </c>
      <c r="L231" s="18">
        <f>IFERROR(ABS('📂 Raw Data'!L231),0)</f>
        <v>270</v>
      </c>
      <c r="M231" s="18">
        <f>IFERROR(ABS('📂 Raw Data'!M231),0)</f>
        <v>4739</v>
      </c>
      <c r="N231" s="18">
        <f t="shared" si="3"/>
        <v>86387</v>
      </c>
      <c r="O231" s="16">
        <f>IFERROR(ABS('📂 Raw Data'!O231),0)</f>
        <v>15</v>
      </c>
      <c r="P231" s="20">
        <f>IFERROR(ABS('📂 Raw Data'!P100),0)</f>
        <v>47</v>
      </c>
      <c r="Q231" s="19" t="str">
        <f>'📂 Raw Data'!Q231</f>
        <v>Poor</v>
      </c>
      <c r="R231" s="55" t="str">
        <f>'📂 Raw Data'!R231</f>
        <v>Active</v>
      </c>
    </row>
    <row r="232" spans="1:18" ht="18" customHeight="1">
      <c r="A232" s="54" t="str">
        <f>'📂 Raw Data'!A232</f>
        <v>EMP1230</v>
      </c>
      <c r="B232" s="16" t="str">
        <f>PROPER(TRIM('📂 Raw Data'!B232))</f>
        <v>Bharat Upadhyay</v>
      </c>
      <c r="C232" s="16">
        <f>'📂 Raw Data'!C232</f>
        <v>44</v>
      </c>
      <c r="D232" s="16" t="str">
        <f>IF(OR('📂 Raw Data'!D232="M",'📂 Raw Data'!D232="m"),"Male",IF(OR('📂 Raw Data'!D232="F",'📂 Raw Data'!D232="f"),"Female",PROPER('📂 Raw Data'!D232)))</f>
        <v>Female</v>
      </c>
      <c r="E232" s="17" t="str">
        <f>UPPER(TRIM('📂 Raw Data'!E232))</f>
        <v>FINANCE</v>
      </c>
      <c r="F232" s="16" t="str">
        <f>PROPER(TRIM('📂 Raw Data'!F232))</f>
        <v>Accountant</v>
      </c>
      <c r="G232" s="16" t="str">
        <f>IFERROR(IF(ISNUMBER('📂 Raw Data'!G232),TEXT('📂 Raw Data'!G232,"DD-MMM-YYYY"),TEXT(DATEVALUE('📂 Raw Data'!G232),"DD-MMM-YYYY")),"Invalid Date")</f>
        <v>12-Apr-2015</v>
      </c>
      <c r="H232" s="16" t="str">
        <f>PROPER(TRIM('📂 Raw Data'!H232))</f>
        <v>Delhi</v>
      </c>
      <c r="I232" s="18">
        <f>IFERROR(IF(ISNUMBER('📂 Raw Data'!I232),ABS('📂 Raw Data'!I232),0),0)</f>
        <v>89066</v>
      </c>
      <c r="J232" s="18">
        <f>IFERROR(ABS('📂 Raw Data'!J232),0)</f>
        <v>37302</v>
      </c>
      <c r="K232" s="18">
        <f>IFERROR(ABS('📂 Raw Data'!K232),0)</f>
        <v>4909</v>
      </c>
      <c r="L232" s="18">
        <f>IFERROR(ABS('📂 Raw Data'!L232),0)</f>
        <v>7868</v>
      </c>
      <c r="M232" s="18">
        <f>IFERROR(ABS('📂 Raw Data'!M232),0)</f>
        <v>4887</v>
      </c>
      <c r="N232" s="18">
        <f t="shared" si="3"/>
        <v>144032</v>
      </c>
      <c r="O232" s="16">
        <f>IFERROR(ABS('📂 Raw Data'!O232),0)</f>
        <v>24</v>
      </c>
      <c r="P232" s="20">
        <f>IFERROR(ABS('📂 Raw Data'!P101),0)</f>
        <v>58</v>
      </c>
      <c r="Q232" s="19" t="str">
        <f>'📂 Raw Data'!Q232</f>
        <v>Excellent</v>
      </c>
      <c r="R232" s="55" t="str">
        <f>'📂 Raw Data'!R232</f>
        <v>Active</v>
      </c>
    </row>
    <row r="233" spans="1:18" ht="18" customHeight="1">
      <c r="A233" s="54" t="str">
        <f>'📂 Raw Data'!A233</f>
        <v>EMP1231</v>
      </c>
      <c r="B233" s="16" t="str">
        <f>PROPER(TRIM('📂 Raw Data'!B233))</f>
        <v>Arun Yadav</v>
      </c>
      <c r="C233" s="16">
        <f>'📂 Raw Data'!C233</f>
        <v>39</v>
      </c>
      <c r="D233" s="16" t="str">
        <f>IF(OR('📂 Raw Data'!D233="M",'📂 Raw Data'!D233="m"),"Male",IF(OR('📂 Raw Data'!D233="F",'📂 Raw Data'!D233="f"),"Female",PROPER('📂 Raw Data'!D233)))</f>
        <v>Male</v>
      </c>
      <c r="E233" s="17" t="str">
        <f>UPPER(TRIM('📂 Raw Data'!E233))</f>
        <v>HR</v>
      </c>
      <c r="F233" s="16" t="str">
        <f>PROPER(TRIM('📂 Raw Data'!F233))</f>
        <v>Hr Executive</v>
      </c>
      <c r="G233" s="16" t="str">
        <f>IFERROR(IF(ISNUMBER('📂 Raw Data'!G233),TEXT('📂 Raw Data'!G233,"DD-MMM-YYYY"),TEXT(DATEVALUE('📂 Raw Data'!G233),"DD-MMM-YYYY")),"Invalid Date")</f>
        <v>06-Jan-2021</v>
      </c>
      <c r="H233" s="16" t="str">
        <f>PROPER(TRIM('📂 Raw Data'!H233))</f>
        <v>Pune</v>
      </c>
      <c r="I233" s="18">
        <f>IFERROR(IF(ISNUMBER('📂 Raw Data'!I233),ABS('📂 Raw Data'!I233),0),0)</f>
        <v>100007</v>
      </c>
      <c r="J233" s="18">
        <f>IFERROR(ABS('📂 Raw Data'!J233),0)</f>
        <v>45600</v>
      </c>
      <c r="K233" s="18">
        <f>IFERROR(ABS('📂 Raw Data'!K233),0)</f>
        <v>5511</v>
      </c>
      <c r="L233" s="18">
        <f>IFERROR(ABS('📂 Raw Data'!L233),0)</f>
        <v>7021</v>
      </c>
      <c r="M233" s="18">
        <f>IFERROR(ABS('📂 Raw Data'!M233),0)</f>
        <v>2813</v>
      </c>
      <c r="N233" s="18">
        <f t="shared" si="3"/>
        <v>160952</v>
      </c>
      <c r="O233" s="16">
        <f>IFERROR(ABS('📂 Raw Data'!O233),0)</f>
        <v>25</v>
      </c>
      <c r="P233" s="20">
        <f>IFERROR(ABS('📂 Raw Data'!P102),0)</f>
        <v>64</v>
      </c>
      <c r="Q233" s="19" t="str">
        <f>'📂 Raw Data'!Q233</f>
        <v>Excellent</v>
      </c>
      <c r="R233" s="55" t="str">
        <f>'📂 Raw Data'!R233</f>
        <v>Active</v>
      </c>
    </row>
    <row r="234" spans="1:18" ht="18" customHeight="1">
      <c r="A234" s="54" t="str">
        <f>'📂 Raw Data'!A234</f>
        <v>EMP1232</v>
      </c>
      <c r="B234" s="16" t="str">
        <f>PROPER(TRIM('📂 Raw Data'!B234))</f>
        <v>Rahul Bahl</v>
      </c>
      <c r="C234" s="16">
        <f>'📂 Raw Data'!C234</f>
        <v>49</v>
      </c>
      <c r="D234" s="16" t="str">
        <f>IF(OR('📂 Raw Data'!D234="M",'📂 Raw Data'!D234="m"),"Male",IF(OR('📂 Raw Data'!D234="F",'📂 Raw Data'!D234="f"),"Female",PROPER('📂 Raw Data'!D234)))</f>
        <v>Female</v>
      </c>
      <c r="E234" s="17" t="str">
        <f>UPPER(TRIM('📂 Raw Data'!E234))</f>
        <v>FINANCE</v>
      </c>
      <c r="F234" s="16" t="str">
        <f>PROPER(TRIM('📂 Raw Data'!F234))</f>
        <v>Senior Accountant</v>
      </c>
      <c r="G234" s="16" t="str">
        <f>IFERROR(IF(ISNUMBER('📂 Raw Data'!G234),TEXT('📂 Raw Data'!G234,"DD-MMM-YYYY"),TEXT(DATEVALUE('📂 Raw Data'!G234),"DD-MMM-YYYY")),"Invalid Date")</f>
        <v>26-Oct-2017</v>
      </c>
      <c r="H234" s="16" t="str">
        <f>PROPER(TRIM('📂 Raw Data'!H234))</f>
        <v>Chennai</v>
      </c>
      <c r="I234" s="18">
        <f>IFERROR(IF(ISNUMBER('📂 Raw Data'!I234),ABS('📂 Raw Data'!I234),0),0)</f>
        <v>26109</v>
      </c>
      <c r="J234" s="18">
        <f>IFERROR(ABS('📂 Raw Data'!J234),0)</f>
        <v>9001</v>
      </c>
      <c r="K234" s="18">
        <f>IFERROR(ABS('📂 Raw Data'!K234),0)</f>
        <v>11967</v>
      </c>
      <c r="L234" s="18">
        <f>IFERROR(ABS('📂 Raw Data'!L234),0)</f>
        <v>6595</v>
      </c>
      <c r="M234" s="18">
        <f>IFERROR(ABS('📂 Raw Data'!M234),0)</f>
        <v>3502</v>
      </c>
      <c r="N234" s="18">
        <f t="shared" si="3"/>
        <v>57174</v>
      </c>
      <c r="O234" s="16">
        <f>IFERROR(ABS('📂 Raw Data'!O234),0)</f>
        <v>26</v>
      </c>
      <c r="P234" s="20">
        <f>IFERROR(ABS('📂 Raw Data'!P103),0)</f>
        <v>48</v>
      </c>
      <c r="Q234" s="19" t="str">
        <f>'📂 Raw Data'!Q234</f>
        <v>Good</v>
      </c>
      <c r="R234" s="55" t="str">
        <f>'📂 Raw Data'!R234</f>
        <v>Active</v>
      </c>
    </row>
    <row r="235" spans="1:18" ht="18" customHeight="1">
      <c r="A235" s="54" t="str">
        <f>'📂 Raw Data'!A235</f>
        <v>EMP1233</v>
      </c>
      <c r="B235" s="16" t="str">
        <f>PROPER(TRIM('📂 Raw Data'!B235))</f>
        <v>Gaurav Verma</v>
      </c>
      <c r="C235" s="16">
        <f>'📂 Raw Data'!C235</f>
        <v>41</v>
      </c>
      <c r="D235" s="16" t="str">
        <f>IF(OR('📂 Raw Data'!D235="M",'📂 Raw Data'!D235="m"),"Male",IF(OR('📂 Raw Data'!D235="F",'📂 Raw Data'!D235="f"),"Female",PROPER('📂 Raw Data'!D235)))</f>
        <v>Female</v>
      </c>
      <c r="E235" s="17" t="str">
        <f>UPPER(TRIM('📂 Raw Data'!E235))</f>
        <v>FINANCE</v>
      </c>
      <c r="F235" s="16" t="str">
        <f>PROPER(TRIM('📂 Raw Data'!F235))</f>
        <v>Finance Manager</v>
      </c>
      <c r="G235" s="16" t="str">
        <f>IFERROR(IF(ISNUMBER('📂 Raw Data'!G235),TEXT('📂 Raw Data'!G235,"DD-MMM-YYYY"),TEXT(DATEVALUE('📂 Raw Data'!G235),"DD-MMM-YYYY")),"Invalid Date")</f>
        <v>13-Oct-2023</v>
      </c>
      <c r="H235" s="16" t="str">
        <f>PROPER(TRIM('📂 Raw Data'!H235))</f>
        <v>Pune</v>
      </c>
      <c r="I235" s="18">
        <f>IFERROR(IF(ISNUMBER('📂 Raw Data'!I235),ABS('📂 Raw Data'!I235),0),0)</f>
        <v>101609</v>
      </c>
      <c r="J235" s="18">
        <f>IFERROR(ABS('📂 Raw Data'!J235),0)</f>
        <v>32562</v>
      </c>
      <c r="K235" s="18">
        <f>IFERROR(ABS('📂 Raw Data'!K235),0)</f>
        <v>10380</v>
      </c>
      <c r="L235" s="18">
        <f>IFERROR(ABS('📂 Raw Data'!L235),0)</f>
        <v>5426</v>
      </c>
      <c r="M235" s="18">
        <f>IFERROR(ABS('📂 Raw Data'!M235),0)</f>
        <v>7908</v>
      </c>
      <c r="N235" s="18">
        <f t="shared" si="3"/>
        <v>157885</v>
      </c>
      <c r="O235" s="16">
        <f>IFERROR(ABS('📂 Raw Data'!O235),0)</f>
        <v>20</v>
      </c>
      <c r="P235" s="20">
        <f>IFERROR(ABS('📂 Raw Data'!P104),0)</f>
        <v>58</v>
      </c>
      <c r="Q235" s="19" t="str">
        <f>'📂 Raw Data'!Q235</f>
        <v>Average</v>
      </c>
      <c r="R235" s="55" t="str">
        <f>'📂 Raw Data'!R235</f>
        <v>Active</v>
      </c>
    </row>
    <row r="236" spans="1:18" ht="18" customHeight="1">
      <c r="A236" s="54" t="str">
        <f>'📂 Raw Data'!A236</f>
        <v>EMP1234</v>
      </c>
      <c r="B236" s="16" t="str">
        <f>PROPER(TRIM('📂 Raw Data'!B236))</f>
        <v>Vikas Chauhan</v>
      </c>
      <c r="C236" s="16">
        <f>'📂 Raw Data'!C236</f>
        <v>25</v>
      </c>
      <c r="D236" s="16" t="str">
        <f>IF(OR('📂 Raw Data'!D236="M",'📂 Raw Data'!D236="m"),"Male",IF(OR('📂 Raw Data'!D236="F",'📂 Raw Data'!D236="f"),"Female",PROPER('📂 Raw Data'!D236)))</f>
        <v>Male</v>
      </c>
      <c r="E236" s="17" t="str">
        <f>UPPER(TRIM('📂 Raw Data'!E236))</f>
        <v>HR</v>
      </c>
      <c r="F236" s="16" t="str">
        <f>PROPER(TRIM('📂 Raw Data'!F236))</f>
        <v>Recruiter</v>
      </c>
      <c r="G236" s="16" t="str">
        <f>IFERROR(IF(ISNUMBER('📂 Raw Data'!G236),TEXT('📂 Raw Data'!G236,"DD-MMM-YYYY"),TEXT(DATEVALUE('📂 Raw Data'!G236),"DD-MMM-YYYY")),"Invalid Date")</f>
        <v>21-May-2019</v>
      </c>
      <c r="H236" s="16" t="str">
        <f>PROPER(TRIM('📂 Raw Data'!H236))</f>
        <v>Kolkata</v>
      </c>
      <c r="I236" s="18">
        <f>IFERROR(IF(ISNUMBER('📂 Raw Data'!I236),ABS('📂 Raw Data'!I236),0),0)</f>
        <v>118204</v>
      </c>
      <c r="J236" s="18">
        <f>IFERROR(ABS('📂 Raw Data'!J236),0)</f>
        <v>57972</v>
      </c>
      <c r="K236" s="18">
        <f>IFERROR(ABS('📂 Raw Data'!K236),0)</f>
        <v>12673</v>
      </c>
      <c r="L236" s="18">
        <f>IFERROR(ABS('📂 Raw Data'!L236),0)</f>
        <v>2447</v>
      </c>
      <c r="M236" s="18">
        <f>IFERROR(ABS('📂 Raw Data'!M236),0)</f>
        <v>2543</v>
      </c>
      <c r="N236" s="18">
        <f t="shared" si="3"/>
        <v>193839</v>
      </c>
      <c r="O236" s="16">
        <f>IFERROR(ABS('📂 Raw Data'!O236),0)</f>
        <v>17</v>
      </c>
      <c r="P236" s="20">
        <f>IFERROR(ABS('📂 Raw Data'!P105),0)</f>
        <v>95</v>
      </c>
      <c r="Q236" s="19" t="str">
        <f>'📂 Raw Data'!Q236</f>
        <v>Average</v>
      </c>
      <c r="R236" s="55" t="str">
        <f>'📂 Raw Data'!R236</f>
        <v>Resigned</v>
      </c>
    </row>
    <row r="237" spans="1:18" ht="18" customHeight="1">
      <c r="A237" s="54" t="str">
        <f>'📂 Raw Data'!A237</f>
        <v>EMP1235</v>
      </c>
      <c r="B237" s="16" t="str">
        <f>PROPER(TRIM('📂 Raw Data'!B237))</f>
        <v>Divya Iyer</v>
      </c>
      <c r="C237" s="16">
        <f>'📂 Raw Data'!C237</f>
        <v>43</v>
      </c>
      <c r="D237" s="16" t="str">
        <f>IF(OR('📂 Raw Data'!D237="M",'📂 Raw Data'!D237="m"),"Male",IF(OR('📂 Raw Data'!D237="F",'📂 Raw Data'!D237="f"),"Female",PROPER('📂 Raw Data'!D237)))</f>
        <v>Male</v>
      </c>
      <c r="E237" s="17" t="str">
        <f>UPPER(TRIM('📂 Raw Data'!E237))</f>
        <v>OPERATIONS</v>
      </c>
      <c r="F237" s="16" t="str">
        <f>PROPER(TRIM('📂 Raw Data'!F237))</f>
        <v>Logistics Manager</v>
      </c>
      <c r="G237" s="16" t="str">
        <f>IFERROR(IF(ISNUMBER('📂 Raw Data'!G237),TEXT('📂 Raw Data'!G237,"DD-MMM-YYYY"),TEXT(DATEVALUE('📂 Raw Data'!G237),"DD-MMM-YYYY")),"Invalid Date")</f>
        <v>16-Nov-2015</v>
      </c>
      <c r="H237" s="16" t="str">
        <f>PROPER(TRIM('📂 Raw Data'!H237))</f>
        <v>Pune</v>
      </c>
      <c r="I237" s="18">
        <f>IFERROR(IF(ISNUMBER('📂 Raw Data'!I237),ABS('📂 Raw Data'!I237),0),0)</f>
        <v>63745</v>
      </c>
      <c r="J237" s="18">
        <f>IFERROR(ABS('📂 Raw Data'!J237),0)</f>
        <v>22431</v>
      </c>
      <c r="K237" s="18">
        <f>IFERROR(ABS('📂 Raw Data'!K237),0)</f>
        <v>8857</v>
      </c>
      <c r="L237" s="18">
        <f>IFERROR(ABS('📂 Raw Data'!L237),0)</f>
        <v>3314</v>
      </c>
      <c r="M237" s="18">
        <f>IFERROR(ABS('📂 Raw Data'!M237),0)</f>
        <v>4180</v>
      </c>
      <c r="N237" s="18">
        <f t="shared" si="3"/>
        <v>102527</v>
      </c>
      <c r="O237" s="16">
        <f>IFERROR(ABS('📂 Raw Data'!O237),0)</f>
        <v>26</v>
      </c>
      <c r="P237" s="20">
        <f>IFERROR(ABS('📂 Raw Data'!P106),0)</f>
        <v>86</v>
      </c>
      <c r="Q237" s="19" t="str">
        <f>'📂 Raw Data'!Q237</f>
        <v>Poor</v>
      </c>
      <c r="R237" s="55" t="str">
        <f>'📂 Raw Data'!R237</f>
        <v>On Leave</v>
      </c>
    </row>
    <row r="238" spans="1:18" ht="18" customHeight="1">
      <c r="A238" s="54" t="str">
        <f>'📂 Raw Data'!A238</f>
        <v>EMP1236</v>
      </c>
      <c r="B238" s="16" t="str">
        <f>PROPER(TRIM('📂 Raw Data'!B238))</f>
        <v>Farhan Sharma</v>
      </c>
      <c r="C238" s="16">
        <f>'📂 Raw Data'!C238</f>
        <v>38</v>
      </c>
      <c r="D238" s="16" t="str">
        <f>IF(OR('📂 Raw Data'!D238="M",'📂 Raw Data'!D238="m"),"Male",IF(OR('📂 Raw Data'!D238="F",'📂 Raw Data'!D238="f"),"Female",PROPER('📂 Raw Data'!D238)))</f>
        <v>Male</v>
      </c>
      <c r="E238" s="17" t="str">
        <f>UPPER(TRIM('📂 Raw Data'!E238))</f>
        <v>OPERATIONS</v>
      </c>
      <c r="F238" s="16" t="str">
        <f>PROPER(TRIM('📂 Raw Data'!F238))</f>
        <v>Coordinator</v>
      </c>
      <c r="G238" s="16" t="str">
        <f>IFERROR(IF(ISNUMBER('📂 Raw Data'!G238),TEXT('📂 Raw Data'!G238,"DD-MMM-YYYY"),TEXT(DATEVALUE('📂 Raw Data'!G238),"DD-MMM-YYYY")),"Invalid Date")</f>
        <v>10-Sep-2020</v>
      </c>
      <c r="H238" s="16" t="str">
        <f>PROPER(TRIM('📂 Raw Data'!H238))</f>
        <v>Pune</v>
      </c>
      <c r="I238" s="18">
        <f>IFERROR(IF(ISNUMBER('📂 Raw Data'!I238),ABS('📂 Raw Data'!I238),0),0)</f>
        <v>47280</v>
      </c>
      <c r="J238" s="18">
        <f>IFERROR(ABS('📂 Raw Data'!J238),0)</f>
        <v>22133</v>
      </c>
      <c r="K238" s="18">
        <f>IFERROR(ABS('📂 Raw Data'!K238),0)</f>
        <v>11146</v>
      </c>
      <c r="L238" s="18">
        <f>IFERROR(ABS('📂 Raw Data'!L238),0)</f>
        <v>1483</v>
      </c>
      <c r="M238" s="18">
        <f>IFERROR(ABS('📂 Raw Data'!M238),0)</f>
        <v>3406</v>
      </c>
      <c r="N238" s="18">
        <f t="shared" si="3"/>
        <v>85448</v>
      </c>
      <c r="O238" s="16">
        <f>IFERROR(ABS('📂 Raw Data'!O238),0)</f>
        <v>16</v>
      </c>
      <c r="P238" s="20">
        <f>IFERROR(ABS('📂 Raw Data'!P107),0)</f>
        <v>50</v>
      </c>
      <c r="Q238" s="19" t="str">
        <f>'📂 Raw Data'!Q238</f>
        <v>Average</v>
      </c>
      <c r="R238" s="55" t="str">
        <f>'📂 Raw Data'!R238</f>
        <v>Resigned</v>
      </c>
    </row>
    <row r="239" spans="1:18" ht="18" customHeight="1">
      <c r="A239" s="54" t="str">
        <f>'📂 Raw Data'!A239</f>
        <v>EMP1237</v>
      </c>
      <c r="B239" s="16" t="str">
        <f>PROPER(TRIM('📂 Raw Data'!B239))</f>
        <v>Priya Vashistha</v>
      </c>
      <c r="C239" s="16">
        <f>'📂 Raw Data'!C239</f>
        <v>29</v>
      </c>
      <c r="D239" s="16" t="str">
        <f>IF(OR('📂 Raw Data'!D239="M",'📂 Raw Data'!D239="m"),"Male",IF(OR('📂 Raw Data'!D239="F",'📂 Raw Data'!D239="f"),"Female",PROPER('📂 Raw Data'!D239)))</f>
        <v>Female</v>
      </c>
      <c r="E239" s="17" t="str">
        <f>UPPER(TRIM('📂 Raw Data'!E239))</f>
        <v>OPERATIONS</v>
      </c>
      <c r="F239" s="16" t="str">
        <f>PROPER(TRIM('📂 Raw Data'!F239))</f>
        <v>Operations Executive</v>
      </c>
      <c r="G239" s="16" t="str">
        <f>IFERROR(IF(ISNUMBER('📂 Raw Data'!G239),TEXT('📂 Raw Data'!G239,"DD-MMM-YYYY"),TEXT(DATEVALUE('📂 Raw Data'!G239),"DD-MMM-YYYY")),"Invalid Date")</f>
        <v>08-Jun-2018</v>
      </c>
      <c r="H239" s="16" t="str">
        <f>PROPER(TRIM('📂 Raw Data'!H239))</f>
        <v>Chennai</v>
      </c>
      <c r="I239" s="18">
        <f>IFERROR(IF(ISNUMBER('📂 Raw Data'!I239),ABS('📂 Raw Data'!I239),0),0)</f>
        <v>65250</v>
      </c>
      <c r="J239" s="18">
        <f>IFERROR(ABS('📂 Raw Data'!J239),0)</f>
        <v>25062</v>
      </c>
      <c r="K239" s="18">
        <f>IFERROR(ABS('📂 Raw Data'!K239),0)</f>
        <v>7428</v>
      </c>
      <c r="L239" s="18">
        <f>IFERROR(ABS('📂 Raw Data'!L239),0)</f>
        <v>3044</v>
      </c>
      <c r="M239" s="18">
        <f>IFERROR(ABS('📂 Raw Data'!M239),0)</f>
        <v>3134</v>
      </c>
      <c r="N239" s="18">
        <f t="shared" si="3"/>
        <v>103918</v>
      </c>
      <c r="O239" s="16">
        <f>IFERROR(ABS('📂 Raw Data'!O239),0)</f>
        <v>24</v>
      </c>
      <c r="P239" s="20">
        <f>IFERROR(ABS('📂 Raw Data'!P108),0)</f>
        <v>50</v>
      </c>
      <c r="Q239" s="19" t="str">
        <f>'📂 Raw Data'!Q239</f>
        <v>Poor</v>
      </c>
      <c r="R239" s="55" t="str">
        <f>'📂 Raw Data'!R239</f>
        <v>Active</v>
      </c>
    </row>
    <row r="240" spans="1:18" ht="18" customHeight="1">
      <c r="A240" s="54" t="str">
        <f>'📂 Raw Data'!A240</f>
        <v>EMP1238</v>
      </c>
      <c r="B240" s="16" t="str">
        <f>PROPER(TRIM('📂 Raw Data'!B240))</f>
        <v>Aarav Hassan</v>
      </c>
      <c r="C240" s="16">
        <f>'📂 Raw Data'!C240</f>
        <v>30</v>
      </c>
      <c r="D240" s="16" t="str">
        <f>IF(OR('📂 Raw Data'!D240="M",'📂 Raw Data'!D240="m"),"Male",IF(OR('📂 Raw Data'!D240="F",'📂 Raw Data'!D240="f"),"Female",PROPER('📂 Raw Data'!D240)))</f>
        <v>Male</v>
      </c>
      <c r="E240" s="17" t="str">
        <f>UPPER(TRIM('📂 Raw Data'!E240))</f>
        <v>MARKETING</v>
      </c>
      <c r="F240" s="16" t="str">
        <f>PROPER(TRIM('📂 Raw Data'!F240))</f>
        <v>Marketing Executive</v>
      </c>
      <c r="G240" s="16" t="str">
        <f>IFERROR(IF(ISNUMBER('📂 Raw Data'!G240),TEXT('📂 Raw Data'!G240,"DD-MMM-YYYY"),TEXT(DATEVALUE('📂 Raw Data'!G240),"DD-MMM-YYYY")),"Invalid Date")</f>
        <v>17-Apr-2022</v>
      </c>
      <c r="H240" s="16" t="str">
        <f>PROPER(TRIM('📂 Raw Data'!H240))</f>
        <v>Delhi</v>
      </c>
      <c r="I240" s="18">
        <f>IFERROR(IF(ISNUMBER('📂 Raw Data'!I240),ABS('📂 Raw Data'!I240),0),0)</f>
        <v>40704</v>
      </c>
      <c r="J240" s="18">
        <f>IFERROR(ABS('📂 Raw Data'!J240),0)</f>
        <v>19273</v>
      </c>
      <c r="K240" s="18">
        <f>IFERROR(ABS('📂 Raw Data'!K240),0)</f>
        <v>8253</v>
      </c>
      <c r="L240" s="18">
        <f>IFERROR(ABS('📂 Raw Data'!L240),0)</f>
        <v>4340</v>
      </c>
      <c r="M240" s="18">
        <f>IFERROR(ABS('📂 Raw Data'!M240),0)</f>
        <v>3444</v>
      </c>
      <c r="N240" s="18">
        <f t="shared" si="3"/>
        <v>76014</v>
      </c>
      <c r="O240" s="16">
        <f>IFERROR(ABS('📂 Raw Data'!O240),0)</f>
        <v>21</v>
      </c>
      <c r="P240" s="20">
        <f>IFERROR(ABS('📂 Raw Data'!P109),0)</f>
        <v>78</v>
      </c>
      <c r="Q240" s="19" t="str">
        <f>'📂 Raw Data'!Q240</f>
        <v>Below Average</v>
      </c>
      <c r="R240" s="55" t="str">
        <f>'📂 Raw Data'!R240</f>
        <v>Active</v>
      </c>
    </row>
    <row r="241" spans="1:18" ht="18" customHeight="1">
      <c r="A241" s="54" t="str">
        <f>'📂 Raw Data'!A241</f>
        <v>EMP1239</v>
      </c>
      <c r="B241" s="16" t="str">
        <f>PROPER(TRIM('📂 Raw Data'!B241))</f>
        <v>Yash Das</v>
      </c>
      <c r="C241" s="16">
        <f>'📂 Raw Data'!C241</f>
        <v>39</v>
      </c>
      <c r="D241" s="16" t="str">
        <f>IF(OR('📂 Raw Data'!D241="M",'📂 Raw Data'!D241="m"),"Male",IF(OR('📂 Raw Data'!D241="F",'📂 Raw Data'!D241="f"),"Female",PROPER('📂 Raw Data'!D241)))</f>
        <v>Female</v>
      </c>
      <c r="E241" s="17" t="str">
        <f>UPPER(TRIM('📂 Raw Data'!E241))</f>
        <v>SALES</v>
      </c>
      <c r="F241" s="16" t="str">
        <f>PROPER(TRIM('📂 Raw Data'!F241))</f>
        <v>Sales Manager</v>
      </c>
      <c r="G241" s="16" t="str">
        <f>IFERROR(IF(ISNUMBER('📂 Raw Data'!G241),TEXT('📂 Raw Data'!G241,"DD-MMM-YYYY"),TEXT(DATEVALUE('📂 Raw Data'!G241),"DD-MMM-YYYY")),"Invalid Date")</f>
        <v>16-Feb-2017</v>
      </c>
      <c r="H241" s="16" t="str">
        <f>PROPER(TRIM('📂 Raw Data'!H241))</f>
        <v>Delhi</v>
      </c>
      <c r="I241" s="18">
        <f>IFERROR(IF(ISNUMBER('📂 Raw Data'!I241),ABS('📂 Raw Data'!I241),0),0)</f>
        <v>68598</v>
      </c>
      <c r="J241" s="18">
        <f>IFERROR(ABS('📂 Raw Data'!J241),0)</f>
        <v>29237</v>
      </c>
      <c r="K241" s="18">
        <f>IFERROR(ABS('📂 Raw Data'!K241),0)</f>
        <v>4897</v>
      </c>
      <c r="L241" s="18">
        <f>IFERROR(ABS('📂 Raw Data'!L241),0)</f>
        <v>2567</v>
      </c>
      <c r="M241" s="18">
        <f>IFERROR(ABS('📂 Raw Data'!M241),0)</f>
        <v>6197</v>
      </c>
      <c r="N241" s="18">
        <f t="shared" si="3"/>
        <v>111496</v>
      </c>
      <c r="O241" s="16">
        <f>IFERROR(ABS('📂 Raw Data'!O241),0)</f>
        <v>15</v>
      </c>
      <c r="P241" s="20">
        <f>IFERROR(ABS('📂 Raw Data'!P110),0)</f>
        <v>87</v>
      </c>
      <c r="Q241" s="19" t="str">
        <f>'📂 Raw Data'!Q241</f>
        <v>Good</v>
      </c>
      <c r="R241" s="55" t="str">
        <f>'📂 Raw Data'!R241</f>
        <v>Active</v>
      </c>
    </row>
    <row r="242" spans="1:18" ht="18" customHeight="1">
      <c r="A242" s="54" t="str">
        <f>'📂 Raw Data'!A242</f>
        <v>EMP1240</v>
      </c>
      <c r="B242" s="16" t="str">
        <f>PROPER(TRIM('📂 Raw Data'!B242))</f>
        <v>Esha Joshi</v>
      </c>
      <c r="C242" s="16">
        <f>'📂 Raw Data'!C242</f>
        <v>34</v>
      </c>
      <c r="D242" s="16" t="str">
        <f>IF(OR('📂 Raw Data'!D242="M",'📂 Raw Data'!D242="m"),"Male",IF(OR('📂 Raw Data'!D242="F",'📂 Raw Data'!D242="f"),"Female",PROPER('📂 Raw Data'!D242)))</f>
        <v>Male</v>
      </c>
      <c r="E242" s="17" t="str">
        <f>UPPER(TRIM('📂 Raw Data'!E242))</f>
        <v>FINANCE</v>
      </c>
      <c r="F242" s="16" t="str">
        <f>PROPER(TRIM('📂 Raw Data'!F242))</f>
        <v>Accountant</v>
      </c>
      <c r="G242" s="16" t="str">
        <f>IFERROR(IF(ISNUMBER('📂 Raw Data'!G242),TEXT('📂 Raw Data'!G242,"DD-MMM-YYYY"),TEXT(DATEVALUE('📂 Raw Data'!G242),"DD-MMM-YYYY")),"Invalid Date")</f>
        <v>14-Oct-2017</v>
      </c>
      <c r="H242" s="16" t="str">
        <f>PROPER(TRIM('📂 Raw Data'!H242))</f>
        <v>Pune</v>
      </c>
      <c r="I242" s="18">
        <f>IFERROR(IF(ISNUMBER('📂 Raw Data'!I242),ABS('📂 Raw Data'!I242),0),0)</f>
        <v>108032</v>
      </c>
      <c r="J242" s="18">
        <f>IFERROR(ABS('📂 Raw Data'!J242),0)</f>
        <v>41688</v>
      </c>
      <c r="K242" s="18">
        <f>IFERROR(ABS('📂 Raw Data'!K242),0)</f>
        <v>9029</v>
      </c>
      <c r="L242" s="18">
        <f>IFERROR(ABS('📂 Raw Data'!L242),0)</f>
        <v>7907</v>
      </c>
      <c r="M242" s="18">
        <f>IFERROR(ABS('📂 Raw Data'!M242),0)</f>
        <v>4910</v>
      </c>
      <c r="N242" s="18">
        <f t="shared" si="3"/>
        <v>171566</v>
      </c>
      <c r="O242" s="16">
        <f>IFERROR(ABS('📂 Raw Data'!O242),0)</f>
        <v>21</v>
      </c>
      <c r="P242" s="20">
        <f>IFERROR(ABS('📂 Raw Data'!P111),0)</f>
        <v>94</v>
      </c>
      <c r="Q242" s="19" t="str">
        <f>'📂 Raw Data'!Q242</f>
        <v>Poor</v>
      </c>
      <c r="R242" s="55" t="str">
        <f>'📂 Raw Data'!R242</f>
        <v>Active</v>
      </c>
    </row>
    <row r="243" spans="1:18" ht="18" customHeight="1">
      <c r="A243" s="54" t="str">
        <f>'📂 Raw Data'!A243</f>
        <v>EMP1241</v>
      </c>
      <c r="B243" s="16" t="str">
        <f>PROPER(TRIM('📂 Raw Data'!B243))</f>
        <v>Arjun Eapen</v>
      </c>
      <c r="C243" s="16">
        <f>'📂 Raw Data'!C243</f>
        <v>32</v>
      </c>
      <c r="D243" s="16" t="str">
        <f>IF(OR('📂 Raw Data'!D243="M",'📂 Raw Data'!D243="m"),"Male",IF(OR('📂 Raw Data'!D243="F",'📂 Raw Data'!D243="f"),"Female",PROPER('📂 Raw Data'!D243)))</f>
        <v>Female</v>
      </c>
      <c r="E243" s="17" t="str">
        <f>UPPER(TRIM('📂 Raw Data'!E243))</f>
        <v>SALES</v>
      </c>
      <c r="F243" s="16" t="str">
        <f>PROPER(TRIM('📂 Raw Data'!F243))</f>
        <v>Sales Executive</v>
      </c>
      <c r="G243" s="16" t="str">
        <f>IFERROR(IF(ISNUMBER('📂 Raw Data'!G243),TEXT('📂 Raw Data'!G243,"DD-MMM-YYYY"),TEXT(DATEVALUE('📂 Raw Data'!G243),"DD-MMM-YYYY")),"Invalid Date")</f>
        <v>11-Jan-2015</v>
      </c>
      <c r="H243" s="16" t="str">
        <f>PROPER(TRIM('📂 Raw Data'!H243))</f>
        <v>Mumbai</v>
      </c>
      <c r="I243" s="18">
        <f>IFERROR(IF(ISNUMBER('📂 Raw Data'!I243),ABS('📂 Raw Data'!I243),0),0)</f>
        <v>57613</v>
      </c>
      <c r="J243" s="18">
        <f>IFERROR(ABS('📂 Raw Data'!J243),0)</f>
        <v>19891</v>
      </c>
      <c r="K243" s="18">
        <f>IFERROR(ABS('📂 Raw Data'!K243),0)</f>
        <v>7641</v>
      </c>
      <c r="L243" s="18">
        <f>IFERROR(ABS('📂 Raw Data'!L243),0)</f>
        <v>2556</v>
      </c>
      <c r="M243" s="18">
        <f>IFERROR(ABS('📂 Raw Data'!M243),0)</f>
        <v>2056</v>
      </c>
      <c r="N243" s="18">
        <f t="shared" si="3"/>
        <v>89757</v>
      </c>
      <c r="O243" s="16">
        <f>IFERROR(ABS('📂 Raw Data'!O243),0)</f>
        <v>16</v>
      </c>
      <c r="P243" s="20">
        <f>IFERROR(ABS('📂 Raw Data'!P112),0)</f>
        <v>80</v>
      </c>
      <c r="Q243" s="19" t="str">
        <f>'📂 Raw Data'!Q243</f>
        <v>Below Average</v>
      </c>
      <c r="R243" s="55" t="str">
        <f>'📂 Raw Data'!R243</f>
        <v>Active</v>
      </c>
    </row>
    <row r="244" spans="1:18" ht="18" customHeight="1">
      <c r="A244" s="54" t="str">
        <f>'📂 Raw Data'!A244</f>
        <v>EMP1242</v>
      </c>
      <c r="B244" s="16" t="str">
        <f>PROPER(TRIM('📂 Raw Data'!B244))</f>
        <v>Chirag Jain</v>
      </c>
      <c r="C244" s="16">
        <f>'📂 Raw Data'!C244</f>
        <v>23</v>
      </c>
      <c r="D244" s="16" t="str">
        <f>IF(OR('📂 Raw Data'!D244="M",'📂 Raw Data'!D244="m"),"Male",IF(OR('📂 Raw Data'!D244="F",'📂 Raw Data'!D244="f"),"Female",PROPER('📂 Raw Data'!D244)))</f>
        <v>Female</v>
      </c>
      <c r="E244" s="17" t="str">
        <f>UPPER(TRIM('📂 Raw Data'!E244))</f>
        <v>OPERATIONS</v>
      </c>
      <c r="F244" s="16" t="str">
        <f>PROPER(TRIM('📂 Raw Data'!F244))</f>
        <v>Admin Officer</v>
      </c>
      <c r="G244" s="16" t="str">
        <f>IFERROR(IF(ISNUMBER('📂 Raw Data'!G244),TEXT('📂 Raw Data'!G244,"DD-MMM-YYYY"),TEXT(DATEVALUE('📂 Raw Data'!G244),"DD-MMM-YYYY")),"Invalid Date")</f>
        <v>05-Nov-2021</v>
      </c>
      <c r="H244" s="16" t="str">
        <f>PROPER(TRIM('📂 Raw Data'!H244))</f>
        <v>Delhi</v>
      </c>
      <c r="I244" s="18">
        <f>IFERROR(IF(ISNUMBER('📂 Raw Data'!I244),ABS('📂 Raw Data'!I244),0),0)</f>
        <v>69922</v>
      </c>
      <c r="J244" s="18">
        <f>IFERROR(ABS('📂 Raw Data'!J244),0)</f>
        <v>34907</v>
      </c>
      <c r="K244" s="18">
        <f>IFERROR(ABS('📂 Raw Data'!K244),0)</f>
        <v>10031</v>
      </c>
      <c r="L244" s="18">
        <f>IFERROR(ABS('📂 Raw Data'!L244),0)</f>
        <v>2942</v>
      </c>
      <c r="M244" s="18">
        <f>IFERROR(ABS('📂 Raw Data'!M244),0)</f>
        <v>7144</v>
      </c>
      <c r="N244" s="18">
        <f t="shared" si="3"/>
        <v>124946</v>
      </c>
      <c r="O244" s="16">
        <f>IFERROR(ABS('📂 Raw Data'!O244),0)</f>
        <v>18</v>
      </c>
      <c r="P244" s="20">
        <f>IFERROR(ABS('📂 Raw Data'!P113),0)</f>
        <v>44</v>
      </c>
      <c r="Q244" s="19" t="str">
        <f>'📂 Raw Data'!Q244</f>
        <v>Good</v>
      </c>
      <c r="R244" s="55" t="str">
        <f>'📂 Raw Data'!R244</f>
        <v>Active</v>
      </c>
    </row>
    <row r="245" spans="1:18" ht="18" customHeight="1">
      <c r="A245" s="54" t="str">
        <f>'📂 Raw Data'!A245</f>
        <v>EMP1243</v>
      </c>
      <c r="B245" s="16" t="str">
        <f>PROPER(TRIM('📂 Raw Data'!B245))</f>
        <v>Bina Yadav</v>
      </c>
      <c r="C245" s="16">
        <f>'📂 Raw Data'!C245</f>
        <v>25</v>
      </c>
      <c r="D245" s="16" t="str">
        <f>IF(OR('📂 Raw Data'!D245="M",'📂 Raw Data'!D245="m"),"Male",IF(OR('📂 Raw Data'!D245="F",'📂 Raw Data'!D245="f"),"Female",PROPER('📂 Raw Data'!D245)))</f>
        <v>Male</v>
      </c>
      <c r="E245" s="17" t="str">
        <f>UPPER(TRIM('📂 Raw Data'!E245))</f>
        <v>OPERATIONS</v>
      </c>
      <c r="F245" s="16" t="str">
        <f>PROPER(TRIM('📂 Raw Data'!F245))</f>
        <v>Operations Executive</v>
      </c>
      <c r="G245" s="16" t="str">
        <f>IFERROR(IF(ISNUMBER('📂 Raw Data'!G245),TEXT('📂 Raw Data'!G245,"DD-MMM-YYYY"),TEXT(DATEVALUE('📂 Raw Data'!G245),"DD-MMM-YYYY")),"Invalid Date")</f>
        <v>04-Mar-2023</v>
      </c>
      <c r="H245" s="16" t="str">
        <f>PROPER(TRIM('📂 Raw Data'!H245))</f>
        <v>Pune</v>
      </c>
      <c r="I245" s="18">
        <f>IFERROR(IF(ISNUMBER('📂 Raw Data'!I245),ABS('📂 Raw Data'!I245),0),0)</f>
        <v>73049</v>
      </c>
      <c r="J245" s="18">
        <f>IFERROR(ABS('📂 Raw Data'!J245),0)</f>
        <v>32304</v>
      </c>
      <c r="K245" s="18">
        <f>IFERROR(ABS('📂 Raw Data'!K245),0)</f>
        <v>14978</v>
      </c>
      <c r="L245" s="18">
        <f>IFERROR(ABS('📂 Raw Data'!L245),0)</f>
        <v>306</v>
      </c>
      <c r="M245" s="18">
        <f>IFERROR(ABS('📂 Raw Data'!M245),0)</f>
        <v>4073</v>
      </c>
      <c r="N245" s="18">
        <f t="shared" si="3"/>
        <v>124710</v>
      </c>
      <c r="O245" s="16">
        <f>IFERROR(ABS('📂 Raw Data'!O245),0)</f>
        <v>25</v>
      </c>
      <c r="P245" s="20">
        <f>IFERROR(ABS('📂 Raw Data'!P114),0)</f>
        <v>96</v>
      </c>
      <c r="Q245" s="19" t="str">
        <f>'📂 Raw Data'!Q245</f>
        <v>Excellent</v>
      </c>
      <c r="R245" s="55" t="str">
        <f>'📂 Raw Data'!R245</f>
        <v>Active</v>
      </c>
    </row>
    <row r="246" spans="1:18" ht="18" customHeight="1">
      <c r="A246" s="54" t="str">
        <f>'📂 Raw Data'!A246</f>
        <v>EMP1244</v>
      </c>
      <c r="B246" s="16" t="str">
        <f>PROPER(TRIM('📂 Raw Data'!B246))</f>
        <v>Akash Chauhan</v>
      </c>
      <c r="C246" s="16">
        <f>'📂 Raw Data'!C246</f>
        <v>41</v>
      </c>
      <c r="D246" s="16" t="str">
        <f>IF(OR('📂 Raw Data'!D246="M",'📂 Raw Data'!D246="m"),"Male",IF(OR('📂 Raw Data'!D246="F",'📂 Raw Data'!D246="f"),"Female",PROPER('📂 Raw Data'!D246)))</f>
        <v>Male</v>
      </c>
      <c r="E246" s="17" t="str">
        <f>UPPER(TRIM('📂 Raw Data'!E246))</f>
        <v>OPERATIONS</v>
      </c>
      <c r="F246" s="16" t="str">
        <f>PROPER(TRIM('📂 Raw Data'!F246))</f>
        <v>Operations Executive</v>
      </c>
      <c r="G246" s="16" t="str">
        <f>IFERROR(IF(ISNUMBER('📂 Raw Data'!G246),TEXT('📂 Raw Data'!G246,"DD-MMM-YYYY"),TEXT(DATEVALUE('📂 Raw Data'!G246),"DD-MMM-YYYY")),"Invalid Date")</f>
        <v>13-Aug-2021</v>
      </c>
      <c r="H246" s="16" t="str">
        <f>PROPER(TRIM('📂 Raw Data'!H246))</f>
        <v>Chennai</v>
      </c>
      <c r="I246" s="18">
        <f>IFERROR(IF(ISNUMBER('📂 Raw Data'!I246),ABS('📂 Raw Data'!I246),0),0)</f>
        <v>41199</v>
      </c>
      <c r="J246" s="18">
        <f>IFERROR(ABS('📂 Raw Data'!J246),0)</f>
        <v>16869</v>
      </c>
      <c r="K246" s="18">
        <f>IFERROR(ABS('📂 Raw Data'!K246),0)</f>
        <v>9772</v>
      </c>
      <c r="L246" s="18">
        <f>IFERROR(ABS('📂 Raw Data'!L246),0)</f>
        <v>5749</v>
      </c>
      <c r="M246" s="18">
        <f>IFERROR(ABS('📂 Raw Data'!M246),0)</f>
        <v>2254</v>
      </c>
      <c r="N246" s="18">
        <f t="shared" si="3"/>
        <v>75843</v>
      </c>
      <c r="O246" s="16">
        <f>IFERROR(ABS('📂 Raw Data'!O246),0)</f>
        <v>18</v>
      </c>
      <c r="P246" s="20">
        <f>IFERROR(ABS('📂 Raw Data'!P115),0)</f>
        <v>94</v>
      </c>
      <c r="Q246" s="19" t="str">
        <f>'📂 Raw Data'!Q246</f>
        <v>Poor</v>
      </c>
      <c r="R246" s="55" t="str">
        <f>'📂 Raw Data'!R246</f>
        <v>On Leave</v>
      </c>
    </row>
    <row r="247" spans="1:18" ht="18" customHeight="1">
      <c r="A247" s="54" t="str">
        <f>'📂 Raw Data'!A247</f>
        <v>EMP1245</v>
      </c>
      <c r="B247" s="16" t="str">
        <f>PROPER(TRIM('📂 Raw Data'!B247))</f>
        <v>Aditi Naik</v>
      </c>
      <c r="C247" s="16">
        <f>'📂 Raw Data'!C247</f>
        <v>34</v>
      </c>
      <c r="D247" s="16" t="str">
        <f>IF(OR('📂 Raw Data'!D247="M",'📂 Raw Data'!D247="m"),"Male",IF(OR('📂 Raw Data'!D247="F",'📂 Raw Data'!D247="f"),"Female",PROPER('📂 Raw Data'!D247)))</f>
        <v>Male</v>
      </c>
      <c r="E247" s="17" t="str">
        <f>UPPER(TRIM('📂 Raw Data'!E247))</f>
        <v>HR</v>
      </c>
      <c r="F247" s="16" t="str">
        <f>PROPER(TRIM('📂 Raw Data'!F247))</f>
        <v>Hr Manager</v>
      </c>
      <c r="G247" s="16" t="str">
        <f>IFERROR(IF(ISNUMBER('📂 Raw Data'!G247),TEXT('📂 Raw Data'!G247,"DD-MMM-YYYY"),TEXT(DATEVALUE('📂 Raw Data'!G247),"DD-MMM-YYYY")),"Invalid Date")</f>
        <v>17-Feb-2021</v>
      </c>
      <c r="H247" s="16" t="str">
        <f>PROPER(TRIM('📂 Raw Data'!H247))</f>
        <v>Kolkata</v>
      </c>
      <c r="I247" s="18">
        <f>IFERROR(IF(ISNUMBER('📂 Raw Data'!I247),ABS('📂 Raw Data'!I247),0),0)</f>
        <v>119210</v>
      </c>
      <c r="J247" s="18">
        <f>IFERROR(ABS('📂 Raw Data'!J247),0)</f>
        <v>50490</v>
      </c>
      <c r="K247" s="18">
        <f>IFERROR(ABS('📂 Raw Data'!K247),0)</f>
        <v>6631</v>
      </c>
      <c r="L247" s="18">
        <f>IFERROR(ABS('📂 Raw Data'!L247),0)</f>
        <v>933</v>
      </c>
      <c r="M247" s="18">
        <f>IFERROR(ABS('📂 Raw Data'!M247),0)</f>
        <v>7428</v>
      </c>
      <c r="N247" s="18">
        <f t="shared" si="3"/>
        <v>184692</v>
      </c>
      <c r="O247" s="16">
        <f>IFERROR(ABS('📂 Raw Data'!O247),0)</f>
        <v>16</v>
      </c>
      <c r="P247" s="20">
        <f>IFERROR(ABS('📂 Raw Data'!P116),0)</f>
        <v>79</v>
      </c>
      <c r="Q247" s="19" t="str">
        <f>'📂 Raw Data'!Q247</f>
        <v>Good</v>
      </c>
      <c r="R247" s="55" t="str">
        <f>'📂 Raw Data'!R247</f>
        <v>Active</v>
      </c>
    </row>
    <row r="248" spans="1:18" ht="18" customHeight="1">
      <c r="A248" s="54" t="str">
        <f>'📂 Raw Data'!A248</f>
        <v>EMP1246</v>
      </c>
      <c r="B248" s="16" t="str">
        <f>PROPER(TRIM('📂 Raw Data'!B248))</f>
        <v>Dinesh Hassan</v>
      </c>
      <c r="C248" s="16">
        <f>'📂 Raw Data'!C248</f>
        <v>22</v>
      </c>
      <c r="D248" s="16" t="str">
        <f>IF(OR('📂 Raw Data'!D248="M",'📂 Raw Data'!D248="m"),"Male",IF(OR('📂 Raw Data'!D248="F",'📂 Raw Data'!D248="f"),"Female",PROPER('📂 Raw Data'!D248)))</f>
        <v>Male</v>
      </c>
      <c r="E248" s="17" t="str">
        <f>UPPER(TRIM('📂 Raw Data'!E248))</f>
        <v>HR</v>
      </c>
      <c r="F248" s="16" t="str">
        <f>PROPER(TRIM('📂 Raw Data'!F248))</f>
        <v>Training Coordinator</v>
      </c>
      <c r="G248" s="16" t="str">
        <f>IFERROR(IF(ISNUMBER('📂 Raw Data'!G248),TEXT('📂 Raw Data'!G248,"DD-MMM-YYYY"),TEXT(DATEVALUE('📂 Raw Data'!G248),"DD-MMM-YYYY")),"Invalid Date")</f>
        <v>02-Mar-2019</v>
      </c>
      <c r="H248" s="16" t="str">
        <f>PROPER(TRIM('📂 Raw Data'!H248))</f>
        <v>Pune</v>
      </c>
      <c r="I248" s="18">
        <f>IFERROR(IF(ISNUMBER('📂 Raw Data'!I248),ABS('📂 Raw Data'!I248),0),0)</f>
        <v>96845</v>
      </c>
      <c r="J248" s="18">
        <f>IFERROR(ABS('📂 Raw Data'!J248),0)</f>
        <v>38667</v>
      </c>
      <c r="K248" s="18">
        <f>IFERROR(ABS('📂 Raw Data'!K248),0)</f>
        <v>5402</v>
      </c>
      <c r="L248" s="18">
        <f>IFERROR(ABS('📂 Raw Data'!L248),0)</f>
        <v>5637</v>
      </c>
      <c r="M248" s="18">
        <f>IFERROR(ABS('📂 Raw Data'!M248),0)</f>
        <v>4937</v>
      </c>
      <c r="N248" s="18">
        <f t="shared" si="3"/>
        <v>151488</v>
      </c>
      <c r="O248" s="16">
        <f>IFERROR(ABS('📂 Raw Data'!O248),0)</f>
        <v>20</v>
      </c>
      <c r="P248" s="20">
        <f>IFERROR(ABS('📂 Raw Data'!P117),0)</f>
        <v>59</v>
      </c>
      <c r="Q248" s="19" t="str">
        <f>'📂 Raw Data'!Q248</f>
        <v>Below Average</v>
      </c>
      <c r="R248" s="55" t="str">
        <f>'📂 Raw Data'!R248</f>
        <v>Active</v>
      </c>
    </row>
    <row r="249" spans="1:18" ht="18" customHeight="1">
      <c r="A249" s="54" t="str">
        <f>'📂 Raw Data'!A249</f>
        <v>EMP1247</v>
      </c>
      <c r="B249" s="16" t="str">
        <f>PROPER(TRIM('📂 Raw Data'!B249))</f>
        <v>Waqar Sharma</v>
      </c>
      <c r="C249" s="16">
        <f>'📂 Raw Data'!C249</f>
        <v>51</v>
      </c>
      <c r="D249" s="16" t="str">
        <f>IF(OR('📂 Raw Data'!D249="M",'📂 Raw Data'!D249="m"),"Male",IF(OR('📂 Raw Data'!D249="F",'📂 Raw Data'!D249="f"),"Female",PROPER('📂 Raw Data'!D249)))</f>
        <v>Female</v>
      </c>
      <c r="E249" s="17" t="str">
        <f>UPPER(TRIM('📂 Raw Data'!E249))</f>
        <v>SALES</v>
      </c>
      <c r="F249" s="16" t="str">
        <f>PROPER(TRIM('📂 Raw Data'!F249))</f>
        <v>Sales Executive</v>
      </c>
      <c r="G249" s="16" t="str">
        <f>IFERROR(IF(ISNUMBER('📂 Raw Data'!G249),TEXT('📂 Raw Data'!G249,"DD-MMM-YYYY"),TEXT(DATEVALUE('📂 Raw Data'!G249),"DD-MMM-YYYY")),"Invalid Date")</f>
        <v>24-Feb-2023</v>
      </c>
      <c r="H249" s="16" t="str">
        <f>PROPER(TRIM('📂 Raw Data'!H249))</f>
        <v>Mumbai</v>
      </c>
      <c r="I249" s="18">
        <f>IFERROR(IF(ISNUMBER('📂 Raw Data'!I249),ABS('📂 Raw Data'!I249),0),0)</f>
        <v>119840</v>
      </c>
      <c r="J249" s="18">
        <f>IFERROR(ABS('📂 Raw Data'!J249),0)</f>
        <v>38380</v>
      </c>
      <c r="K249" s="18">
        <f>IFERROR(ABS('📂 Raw Data'!K249),0)</f>
        <v>6192</v>
      </c>
      <c r="L249" s="18">
        <f>IFERROR(ABS('📂 Raw Data'!L249),0)</f>
        <v>5278</v>
      </c>
      <c r="M249" s="18">
        <f>IFERROR(ABS('📂 Raw Data'!M249),0)</f>
        <v>2893</v>
      </c>
      <c r="N249" s="18">
        <f t="shared" si="3"/>
        <v>172583</v>
      </c>
      <c r="O249" s="16">
        <f>IFERROR(ABS('📂 Raw Data'!O249),0)</f>
        <v>22</v>
      </c>
      <c r="P249" s="20">
        <f>IFERROR(ABS('📂 Raw Data'!P118),0)</f>
        <v>95</v>
      </c>
      <c r="Q249" s="19" t="str">
        <f>'📂 Raw Data'!Q249</f>
        <v>Excellent</v>
      </c>
      <c r="R249" s="55" t="str">
        <f>'📂 Raw Data'!R249</f>
        <v>Active</v>
      </c>
    </row>
    <row r="250" spans="1:18" ht="18" customHeight="1">
      <c r="A250" s="54" t="str">
        <f>'📂 Raw Data'!A250</f>
        <v>EMP1248</v>
      </c>
      <c r="B250" s="16" t="str">
        <f>PROPER(TRIM('📂 Raw Data'!B250))</f>
        <v>Xena Gupta</v>
      </c>
      <c r="C250" s="16">
        <f>'📂 Raw Data'!C250</f>
        <v>32</v>
      </c>
      <c r="D250" s="16" t="str">
        <f>IF(OR('📂 Raw Data'!D250="M",'📂 Raw Data'!D250="m"),"Male",IF(OR('📂 Raw Data'!D250="F",'📂 Raw Data'!D250="f"),"Female",PROPER('📂 Raw Data'!D250)))</f>
        <v>Male</v>
      </c>
      <c r="E250" s="17" t="str">
        <f>UPPER(TRIM('📂 Raw Data'!E250))</f>
        <v>HR</v>
      </c>
      <c r="F250" s="16" t="str">
        <f>PROPER(TRIM('📂 Raw Data'!F250))</f>
        <v>Recruiter</v>
      </c>
      <c r="G250" s="16" t="str">
        <f>IFERROR(IF(ISNUMBER('📂 Raw Data'!G250),TEXT('📂 Raw Data'!G250,"DD-MMM-YYYY"),TEXT(DATEVALUE('📂 Raw Data'!G250),"DD-MMM-YYYY")),"Invalid Date")</f>
        <v>24-Jul-2020</v>
      </c>
      <c r="H250" s="16" t="str">
        <f>PROPER(TRIM('📂 Raw Data'!H250))</f>
        <v>Bangalore</v>
      </c>
      <c r="I250" s="18">
        <f>IFERROR(IF(ISNUMBER('📂 Raw Data'!I250),ABS('📂 Raw Data'!I250),0),0)</f>
        <v>40191</v>
      </c>
      <c r="J250" s="18">
        <f>IFERROR(ABS('📂 Raw Data'!J250),0)</f>
        <v>12821</v>
      </c>
      <c r="K250" s="18">
        <f>IFERROR(ABS('📂 Raw Data'!K250),0)</f>
        <v>14422</v>
      </c>
      <c r="L250" s="18">
        <f>IFERROR(ABS('📂 Raw Data'!L250),0)</f>
        <v>7293</v>
      </c>
      <c r="M250" s="18">
        <f>IFERROR(ABS('📂 Raw Data'!M250),0)</f>
        <v>1375</v>
      </c>
      <c r="N250" s="18">
        <f t="shared" si="3"/>
        <v>76102</v>
      </c>
      <c r="O250" s="16">
        <f>IFERROR(ABS('📂 Raw Data'!O250),0)</f>
        <v>15</v>
      </c>
      <c r="P250" s="20">
        <f>IFERROR(ABS('📂 Raw Data'!P119),0)</f>
        <v>58</v>
      </c>
      <c r="Q250" s="19" t="str">
        <f>'📂 Raw Data'!Q250</f>
        <v>Average</v>
      </c>
      <c r="R250" s="55" t="str">
        <f>'📂 Raw Data'!R250</f>
        <v>Active</v>
      </c>
    </row>
    <row r="251" spans="1:18" ht="18" customHeight="1">
      <c r="A251" s="54" t="str">
        <f>'📂 Raw Data'!A251</f>
        <v>EMP1249</v>
      </c>
      <c r="B251" s="16" t="str">
        <f>PROPER(TRIM('📂 Raw Data'!B251))</f>
        <v>Dinesh Jain</v>
      </c>
      <c r="C251" s="16">
        <f>'📂 Raw Data'!C251</f>
        <v>48</v>
      </c>
      <c r="D251" s="16" t="str">
        <f>IF(OR('📂 Raw Data'!D251="M",'📂 Raw Data'!D251="m"),"Male",IF(OR('📂 Raw Data'!D251="F",'📂 Raw Data'!D251="f"),"Female",PROPER('📂 Raw Data'!D251)))</f>
        <v>Female</v>
      </c>
      <c r="E251" s="17" t="str">
        <f>UPPER(TRIM('📂 Raw Data'!E251))</f>
        <v>OPERATIONS</v>
      </c>
      <c r="F251" s="16" t="str">
        <f>PROPER(TRIM('📂 Raw Data'!F251))</f>
        <v>Operations Executive</v>
      </c>
      <c r="G251" s="16" t="str">
        <f>IFERROR(IF(ISNUMBER('📂 Raw Data'!G251),TEXT('📂 Raw Data'!G251,"DD-MMM-YYYY"),TEXT(DATEVALUE('📂 Raw Data'!G251),"DD-MMM-YYYY")),"Invalid Date")</f>
        <v>06-Jun-2020</v>
      </c>
      <c r="H251" s="16" t="str">
        <f>PROPER(TRIM('📂 Raw Data'!H251))</f>
        <v>Pune</v>
      </c>
      <c r="I251" s="18">
        <f>IFERROR(IF(ISNUMBER('📂 Raw Data'!I251),ABS('📂 Raw Data'!I251),0),0)</f>
        <v>39920</v>
      </c>
      <c r="J251" s="18">
        <f>IFERROR(ABS('📂 Raw Data'!J251),0)</f>
        <v>15176</v>
      </c>
      <c r="K251" s="18">
        <f>IFERROR(ABS('📂 Raw Data'!K251),0)</f>
        <v>9479</v>
      </c>
      <c r="L251" s="18">
        <f>IFERROR(ABS('📂 Raw Data'!L251),0)</f>
        <v>2226</v>
      </c>
      <c r="M251" s="18">
        <f>IFERROR(ABS('📂 Raw Data'!M251),0)</f>
        <v>7846</v>
      </c>
      <c r="N251" s="18">
        <f t="shared" si="3"/>
        <v>74647</v>
      </c>
      <c r="O251" s="16">
        <f>IFERROR(ABS('📂 Raw Data'!O251),0)</f>
        <v>21</v>
      </c>
      <c r="P251" s="20">
        <f>IFERROR(ABS('📂 Raw Data'!P120),0)</f>
        <v>100</v>
      </c>
      <c r="Q251" s="19" t="str">
        <f>'📂 Raw Data'!Q251</f>
        <v>Excellent</v>
      </c>
      <c r="R251" s="55" t="str">
        <f>'📂 Raw Data'!R251</f>
        <v>Active</v>
      </c>
    </row>
    <row r="252" spans="1:18" ht="18" customHeight="1">
      <c r="A252" s="54" t="str">
        <f>'📂 Raw Data'!A252</f>
        <v>EMP1250</v>
      </c>
      <c r="B252" s="16" t="str">
        <f>PROPER(TRIM('📂 Raw Data'!B252))</f>
        <v>Dinesh Mishra</v>
      </c>
      <c r="C252" s="16">
        <f>'📂 Raw Data'!C252</f>
        <v>30</v>
      </c>
      <c r="D252" s="16" t="str">
        <f>IF(OR('📂 Raw Data'!D252="M",'📂 Raw Data'!D252="m"),"Male",IF(OR('📂 Raw Data'!D252="F",'📂 Raw Data'!D252="f"),"Female",PROPER('📂 Raw Data'!D252)))</f>
        <v>Male</v>
      </c>
      <c r="E252" s="17" t="str">
        <f>UPPER(TRIM('📂 Raw Data'!E252))</f>
        <v>SALES</v>
      </c>
      <c r="F252" s="16" t="str">
        <f>PROPER(TRIM('📂 Raw Data'!F252))</f>
        <v>Sales Executive</v>
      </c>
      <c r="G252" s="16" t="str">
        <f>IFERROR(IF(ISNUMBER('📂 Raw Data'!G252),TEXT('📂 Raw Data'!G252,"DD-MMM-YYYY"),TEXT(DATEVALUE('📂 Raw Data'!G252),"DD-MMM-YYYY")),"Invalid Date")</f>
        <v>16-Oct-2021</v>
      </c>
      <c r="H252" s="16" t="str">
        <f>PROPER(TRIM('📂 Raw Data'!H252))</f>
        <v>Chennai</v>
      </c>
      <c r="I252" s="18">
        <f>IFERROR(IF(ISNUMBER('📂 Raw Data'!I252),ABS('📂 Raw Data'!I252),0),0)</f>
        <v>99572</v>
      </c>
      <c r="J252" s="18">
        <f>IFERROR(ABS('📂 Raw Data'!J252),0)</f>
        <v>43381</v>
      </c>
      <c r="K252" s="18">
        <f>IFERROR(ABS('📂 Raw Data'!K252),0)</f>
        <v>4969</v>
      </c>
      <c r="L252" s="18">
        <f>IFERROR(ABS('📂 Raw Data'!L252),0)</f>
        <v>5007</v>
      </c>
      <c r="M252" s="18">
        <f>IFERROR(ABS('📂 Raw Data'!M252),0)</f>
        <v>4110</v>
      </c>
      <c r="N252" s="18">
        <f t="shared" si="3"/>
        <v>157039</v>
      </c>
      <c r="O252" s="16">
        <f>IFERROR(ABS('📂 Raw Data'!O252),0)</f>
        <v>20</v>
      </c>
      <c r="P252" s="20">
        <f>IFERROR(ABS('📂 Raw Data'!P121),0)</f>
        <v>67</v>
      </c>
      <c r="Q252" s="19" t="str">
        <f>'📂 Raw Data'!Q252</f>
        <v>Below Average</v>
      </c>
      <c r="R252" s="55" t="str">
        <f>'📂 Raw Data'!R252</f>
        <v>Active</v>
      </c>
    </row>
    <row r="253" spans="1:18" ht="18" customHeight="1">
      <c r="A253" s="54" t="str">
        <f>'📂 Raw Data'!A253</f>
        <v>EMP1251</v>
      </c>
      <c r="B253" s="16" t="str">
        <f>PROPER(TRIM('📂 Raw Data'!B253))</f>
        <v>Jyoti Upadhyay</v>
      </c>
      <c r="C253" s="16">
        <f>'📂 Raw Data'!C253</f>
        <v>43</v>
      </c>
      <c r="D253" s="16" t="str">
        <f>IF(OR('📂 Raw Data'!D253="M",'📂 Raw Data'!D253="m"),"Male",IF(OR('📂 Raw Data'!D253="F",'📂 Raw Data'!D253="f"),"Female",PROPER('📂 Raw Data'!D253)))</f>
        <v>Male</v>
      </c>
      <c r="E253" s="17" t="str">
        <f>UPPER(TRIM('📂 Raw Data'!E253))</f>
        <v>ENGINEERING</v>
      </c>
      <c r="F253" s="16" t="str">
        <f>PROPER(TRIM('📂 Raw Data'!F253))</f>
        <v>Software Engineer</v>
      </c>
      <c r="G253" s="16" t="str">
        <f>IFERROR(IF(ISNUMBER('📂 Raw Data'!G253),TEXT('📂 Raw Data'!G253,"DD-MMM-YYYY"),TEXT(DATEVALUE('📂 Raw Data'!G253),"DD-MMM-YYYY")),"Invalid Date")</f>
        <v>11-Nov-2019</v>
      </c>
      <c r="H253" s="16" t="str">
        <f>PROPER(TRIM('📂 Raw Data'!H253))</f>
        <v>Hyderabad</v>
      </c>
      <c r="I253" s="18">
        <f>IFERROR(IF(ISNUMBER('📂 Raw Data'!I253),ABS('📂 Raw Data'!I253),0),0)</f>
        <v>0</v>
      </c>
      <c r="J253" s="18">
        <f>IFERROR(ABS('📂 Raw Data'!J253),0)</f>
        <v>11737</v>
      </c>
      <c r="K253" s="18">
        <f>IFERROR(ABS('📂 Raw Data'!K253),0)</f>
        <v>13107</v>
      </c>
      <c r="L253" s="18">
        <f>IFERROR(ABS('📂 Raw Data'!L253),0)</f>
        <v>4299</v>
      </c>
      <c r="M253" s="18">
        <f>IFERROR(ABS('📂 Raw Data'!M253),0)</f>
        <v>7287</v>
      </c>
      <c r="N253" s="18">
        <f t="shared" si="3"/>
        <v>36430</v>
      </c>
      <c r="O253" s="16">
        <f>IFERROR(ABS('📂 Raw Data'!O253),0)</f>
        <v>26</v>
      </c>
      <c r="P253" s="20">
        <f>IFERROR(ABS('📂 Raw Data'!P122),0)</f>
        <v>68</v>
      </c>
      <c r="Q253" s="19" t="str">
        <f>'📂 Raw Data'!Q253</f>
        <v>Poor</v>
      </c>
      <c r="R253" s="55" t="str">
        <f>'📂 Raw Data'!R253</f>
        <v>Resigned</v>
      </c>
    </row>
    <row r="254" spans="1:18" ht="18" customHeight="1">
      <c r="A254" s="54" t="str">
        <f>'📂 Raw Data'!A254</f>
        <v>EMP1252</v>
      </c>
      <c r="B254" s="16" t="str">
        <f>PROPER(TRIM('📂 Raw Data'!B254))</f>
        <v>Arun Tiwari</v>
      </c>
      <c r="C254" s="16">
        <f>'📂 Raw Data'!C254</f>
        <v>22</v>
      </c>
      <c r="D254" s="16" t="str">
        <f>IF(OR('📂 Raw Data'!D254="M",'📂 Raw Data'!D254="m"),"Male",IF(OR('📂 Raw Data'!D254="F",'📂 Raw Data'!D254="f"),"Female",PROPER('📂 Raw Data'!D254)))</f>
        <v>Male</v>
      </c>
      <c r="E254" s="17" t="str">
        <f>UPPER(TRIM('📂 Raw Data'!E254))</f>
        <v>ENGINEERING</v>
      </c>
      <c r="F254" s="16" t="str">
        <f>PROPER(TRIM('📂 Raw Data'!F254))</f>
        <v>Qa Engineer</v>
      </c>
      <c r="G254" s="16" t="str">
        <f>IFERROR(IF(ISNUMBER('📂 Raw Data'!G254),TEXT('📂 Raw Data'!G254,"DD-MMM-YYYY"),TEXT(DATEVALUE('📂 Raw Data'!G254),"DD-MMM-YYYY")),"Invalid Date")</f>
        <v>12-Aug-2018</v>
      </c>
      <c r="H254" s="16" t="str">
        <f>PROPER(TRIM('📂 Raw Data'!H254))</f>
        <v>Pune</v>
      </c>
      <c r="I254" s="18">
        <f>IFERROR(IF(ISNUMBER('📂 Raw Data'!I254),ABS('📂 Raw Data'!I254),0),0)</f>
        <v>111993</v>
      </c>
      <c r="J254" s="18">
        <f>IFERROR(ABS('📂 Raw Data'!J254),0)</f>
        <v>48746</v>
      </c>
      <c r="K254" s="18">
        <f>IFERROR(ABS('📂 Raw Data'!K254),0)</f>
        <v>8305</v>
      </c>
      <c r="L254" s="18">
        <f>IFERROR(ABS('📂 Raw Data'!L254),0)</f>
        <v>1217</v>
      </c>
      <c r="M254" s="18">
        <f>IFERROR(ABS('📂 Raw Data'!M254),0)</f>
        <v>7873</v>
      </c>
      <c r="N254" s="18">
        <f t="shared" si="3"/>
        <v>178134</v>
      </c>
      <c r="O254" s="16">
        <f>IFERROR(ABS('📂 Raw Data'!O254),0)</f>
        <v>23</v>
      </c>
      <c r="P254" s="20">
        <f>IFERROR(ABS('📂 Raw Data'!P123),0)</f>
        <v>85</v>
      </c>
      <c r="Q254" s="19" t="str">
        <f>'📂 Raw Data'!Q254</f>
        <v>Below Average</v>
      </c>
      <c r="R254" s="55" t="str">
        <f>'📂 Raw Data'!R254</f>
        <v>Active</v>
      </c>
    </row>
    <row r="255" spans="1:18" ht="18" customHeight="1">
      <c r="A255" s="54" t="str">
        <f>'📂 Raw Data'!A255</f>
        <v>EMP1253</v>
      </c>
      <c r="B255" s="16" t="str">
        <f>PROPER(TRIM('📂 Raw Data'!B255))</f>
        <v>Sanjay Nair</v>
      </c>
      <c r="C255" s="16">
        <f>'📂 Raw Data'!C255</f>
        <v>47</v>
      </c>
      <c r="D255" s="16" t="str">
        <f>IF(OR('📂 Raw Data'!D255="M",'📂 Raw Data'!D255="m"),"Male",IF(OR('📂 Raw Data'!D255="F",'📂 Raw Data'!D255="f"),"Female",PROPER('📂 Raw Data'!D255)))</f>
        <v>Female</v>
      </c>
      <c r="E255" s="17" t="str">
        <f>UPPER(TRIM('📂 Raw Data'!E255))</f>
        <v>SALES</v>
      </c>
      <c r="F255" s="16" t="str">
        <f>PROPER(TRIM('📂 Raw Data'!F255))</f>
        <v>Sales Executive</v>
      </c>
      <c r="G255" s="16" t="str">
        <f>IFERROR(IF(ISNUMBER('📂 Raw Data'!G255),TEXT('📂 Raw Data'!G255,"DD-MMM-YYYY"),TEXT(DATEVALUE('📂 Raw Data'!G255),"DD-MMM-YYYY")),"Invalid Date")</f>
        <v>08-Jun-2022</v>
      </c>
      <c r="H255" s="16" t="str">
        <f>PROPER(TRIM('📂 Raw Data'!H255))</f>
        <v>Kolkata</v>
      </c>
      <c r="I255" s="18">
        <f>IFERROR(IF(ISNUMBER('📂 Raw Data'!I255),ABS('📂 Raw Data'!I255),0),0)</f>
        <v>68371</v>
      </c>
      <c r="J255" s="18">
        <f>IFERROR(ABS('📂 Raw Data'!J255),0)</f>
        <v>33777</v>
      </c>
      <c r="K255" s="18">
        <f>IFERROR(ABS('📂 Raw Data'!K255),0)</f>
        <v>2824</v>
      </c>
      <c r="L255" s="18">
        <f>IFERROR(ABS('📂 Raw Data'!L255),0)</f>
        <v>4152</v>
      </c>
      <c r="M255" s="18">
        <f>IFERROR(ABS('📂 Raw Data'!M255),0)</f>
        <v>2824</v>
      </c>
      <c r="N255" s="18">
        <f t="shared" si="3"/>
        <v>111948</v>
      </c>
      <c r="O255" s="16">
        <f>IFERROR(ABS('📂 Raw Data'!O255),0)</f>
        <v>23</v>
      </c>
      <c r="P255" s="20">
        <f>IFERROR(ABS('📂 Raw Data'!P124),0)</f>
        <v>93</v>
      </c>
      <c r="Q255" s="19" t="str">
        <f>'📂 Raw Data'!Q255</f>
        <v>Below Average</v>
      </c>
      <c r="R255" s="55" t="str">
        <f>'📂 Raw Data'!R255</f>
        <v>Active</v>
      </c>
    </row>
    <row r="256" spans="1:18" ht="18" customHeight="1">
      <c r="A256" s="54" t="str">
        <f>'📂 Raw Data'!A256</f>
        <v>EMP1254</v>
      </c>
      <c r="B256" s="16" t="str">
        <f>PROPER(TRIM('📂 Raw Data'!B256))</f>
        <v>Hina Walia</v>
      </c>
      <c r="C256" s="16">
        <f>'📂 Raw Data'!C256</f>
        <v>48</v>
      </c>
      <c r="D256" s="16" t="str">
        <f>IF(OR('📂 Raw Data'!D256="M",'📂 Raw Data'!D256="m"),"Male",IF(OR('📂 Raw Data'!D256="F",'📂 Raw Data'!D256="f"),"Female",PROPER('📂 Raw Data'!D256)))</f>
        <v>Female</v>
      </c>
      <c r="E256" s="17" t="str">
        <f>UPPER(TRIM('📂 Raw Data'!E256))</f>
        <v>MARKETING</v>
      </c>
      <c r="F256" s="16" t="str">
        <f>PROPER(TRIM('📂 Raw Data'!F256))</f>
        <v>Brand Manager</v>
      </c>
      <c r="G256" s="16" t="str">
        <f>IFERROR(IF(ISNUMBER('📂 Raw Data'!G256),TEXT('📂 Raw Data'!G256,"DD-MMM-YYYY"),TEXT(DATEVALUE('📂 Raw Data'!G256),"DD-MMM-YYYY")),"Invalid Date")</f>
        <v>15-Aug-2016</v>
      </c>
      <c r="H256" s="16" t="str">
        <f>PROPER(TRIM('📂 Raw Data'!H256))</f>
        <v>Mumbai</v>
      </c>
      <c r="I256" s="18">
        <f>IFERROR(IF(ISNUMBER('📂 Raw Data'!I256),ABS('📂 Raw Data'!I256),0),0)</f>
        <v>66426</v>
      </c>
      <c r="J256" s="18">
        <f>IFERROR(ABS('📂 Raw Data'!J256),0)</f>
        <v>21505</v>
      </c>
      <c r="K256" s="18">
        <f>IFERROR(ABS('📂 Raw Data'!K256),0)</f>
        <v>10148</v>
      </c>
      <c r="L256" s="18">
        <f>IFERROR(ABS('📂 Raw Data'!L256),0)</f>
        <v>6104</v>
      </c>
      <c r="M256" s="18">
        <f>IFERROR(ABS('📂 Raw Data'!M256),0)</f>
        <v>6352</v>
      </c>
      <c r="N256" s="18">
        <f t="shared" si="3"/>
        <v>110535</v>
      </c>
      <c r="O256" s="16">
        <f>IFERROR(ABS('📂 Raw Data'!O256),0)</f>
        <v>15</v>
      </c>
      <c r="P256" s="20">
        <f>IFERROR(ABS('📂 Raw Data'!P125),0)</f>
        <v>76</v>
      </c>
      <c r="Q256" s="19" t="str">
        <f>'📂 Raw Data'!Q256</f>
        <v>Excellent</v>
      </c>
      <c r="R256" s="55" t="str">
        <f>'📂 Raw Data'!R256</f>
        <v>Resigned</v>
      </c>
    </row>
    <row r="257" spans="1:18" ht="18" customHeight="1">
      <c r="A257" s="54" t="str">
        <f>'📂 Raw Data'!A257</f>
        <v>EMP1255</v>
      </c>
      <c r="B257" s="16" t="str">
        <f>PROPER(TRIM('📂 Raw Data'!B257))</f>
        <v>Lokesh Gupta</v>
      </c>
      <c r="C257" s="16">
        <f>'📂 Raw Data'!C257</f>
        <v>51</v>
      </c>
      <c r="D257" s="16" t="str">
        <f>IF(OR('📂 Raw Data'!D257="M",'📂 Raw Data'!D257="m"),"Male",IF(OR('📂 Raw Data'!D257="F",'📂 Raw Data'!D257="f"),"Female",PROPER('📂 Raw Data'!D257)))</f>
        <v>Male</v>
      </c>
      <c r="E257" s="17" t="str">
        <f>UPPER(TRIM('📂 Raw Data'!E257))</f>
        <v>MARKETING</v>
      </c>
      <c r="F257" s="16" t="str">
        <f>PROPER(TRIM('📂 Raw Data'!F257))</f>
        <v>Seo Specialist</v>
      </c>
      <c r="G257" s="16" t="str">
        <f>IFERROR(IF(ISNUMBER('📂 Raw Data'!G257),TEXT('📂 Raw Data'!G257,"DD-MMM-YYYY"),TEXT(DATEVALUE('📂 Raw Data'!G257),"DD-MMM-YYYY")),"Invalid Date")</f>
        <v>07-Sep-2023</v>
      </c>
      <c r="H257" s="16" t="str">
        <f>PROPER(TRIM('📂 Raw Data'!H257))</f>
        <v>Bangalore</v>
      </c>
      <c r="I257" s="18">
        <f>IFERROR(IF(ISNUMBER('📂 Raw Data'!I257),ABS('📂 Raw Data'!I257),0),0)</f>
        <v>110799</v>
      </c>
      <c r="J257" s="18">
        <f>IFERROR(ABS('📂 Raw Data'!J257),0)</f>
        <v>48119</v>
      </c>
      <c r="K257" s="18">
        <f>IFERROR(ABS('📂 Raw Data'!K257),0)</f>
        <v>7584</v>
      </c>
      <c r="L257" s="18">
        <f>IFERROR(ABS('📂 Raw Data'!L257),0)</f>
        <v>2976</v>
      </c>
      <c r="M257" s="18">
        <f>IFERROR(ABS('📂 Raw Data'!M257),0)</f>
        <v>7760</v>
      </c>
      <c r="N257" s="18">
        <f t="shared" si="3"/>
        <v>177238</v>
      </c>
      <c r="O257" s="16">
        <f>IFERROR(ABS('📂 Raw Data'!O257),0)</f>
        <v>15</v>
      </c>
      <c r="P257" s="20">
        <f>IFERROR(ABS('📂 Raw Data'!P126),0)</f>
        <v>49</v>
      </c>
      <c r="Q257" s="19" t="str">
        <f>'📂 Raw Data'!Q257</f>
        <v>Poor</v>
      </c>
      <c r="R257" s="55" t="str">
        <f>'📂 Raw Data'!R257</f>
        <v>Resigned</v>
      </c>
    </row>
    <row r="258" spans="1:18" ht="18" customHeight="1">
      <c r="A258" s="54" t="str">
        <f>'📂 Raw Data'!A258</f>
        <v>EMP1256</v>
      </c>
      <c r="B258" s="16" t="str">
        <f>PROPER(TRIM('📂 Raw Data'!B258))</f>
        <v>Akash Malhotra</v>
      </c>
      <c r="C258" s="16">
        <f>'📂 Raw Data'!C258</f>
        <v>55</v>
      </c>
      <c r="D258" s="16" t="str">
        <f>IF(OR('📂 Raw Data'!D258="M",'📂 Raw Data'!D258="m"),"Male",IF(OR('📂 Raw Data'!D258="F",'📂 Raw Data'!D258="f"),"Female",PROPER('📂 Raw Data'!D258)))</f>
        <v>Female</v>
      </c>
      <c r="E258" s="17" t="str">
        <f>UPPER(TRIM('📂 Raw Data'!E258))</f>
        <v>FINANCE</v>
      </c>
      <c r="F258" s="16" t="str">
        <f>PROPER(TRIM('📂 Raw Data'!F258))</f>
        <v>Finance Manager</v>
      </c>
      <c r="G258" s="16" t="str">
        <f>IFERROR(IF(ISNUMBER('📂 Raw Data'!G258),TEXT('📂 Raw Data'!G258,"DD-MMM-YYYY"),TEXT(DATEVALUE('📂 Raw Data'!G258),"DD-MMM-YYYY")),"Invalid Date")</f>
        <v>04-Feb-2022</v>
      </c>
      <c r="H258" s="16" t="str">
        <f>PROPER(TRIM('📂 Raw Data'!H258))</f>
        <v>Bangalore</v>
      </c>
      <c r="I258" s="18">
        <f>IFERROR(IF(ISNUMBER('📂 Raw Data'!I258),ABS('📂 Raw Data'!I258),0),0)</f>
        <v>111364</v>
      </c>
      <c r="J258" s="18">
        <f>IFERROR(ABS('📂 Raw Data'!J258),0)</f>
        <v>38348</v>
      </c>
      <c r="K258" s="18">
        <f>IFERROR(ABS('📂 Raw Data'!K258),0)</f>
        <v>7592</v>
      </c>
      <c r="L258" s="18">
        <f>IFERROR(ABS('📂 Raw Data'!L258),0)</f>
        <v>2909</v>
      </c>
      <c r="M258" s="18">
        <f>IFERROR(ABS('📂 Raw Data'!M258),0)</f>
        <v>7798</v>
      </c>
      <c r="N258" s="18">
        <f t="shared" si="3"/>
        <v>168011</v>
      </c>
      <c r="O258" s="16">
        <f>IFERROR(ABS('📂 Raw Data'!O258),0)</f>
        <v>25</v>
      </c>
      <c r="P258" s="20">
        <f>IFERROR(ABS('📂 Raw Data'!P127),0)</f>
        <v>60</v>
      </c>
      <c r="Q258" s="19" t="str">
        <f>'📂 Raw Data'!Q258</f>
        <v>Good</v>
      </c>
      <c r="R258" s="55" t="str">
        <f>'📂 Raw Data'!R258</f>
        <v>On Leave</v>
      </c>
    </row>
    <row r="259" spans="1:18" ht="18" customHeight="1">
      <c r="A259" s="54" t="str">
        <f>'📂 Raw Data'!A259</f>
        <v>EMP1257</v>
      </c>
      <c r="B259" s="16" t="str">
        <f>PROPER(TRIM('📂 Raw Data'!B259))</f>
        <v>Akash Das</v>
      </c>
      <c r="C259" s="16">
        <f>'📂 Raw Data'!C259</f>
        <v>34</v>
      </c>
      <c r="D259" s="16" t="str">
        <f>IF(OR('📂 Raw Data'!D259="M",'📂 Raw Data'!D259="m"),"Male",IF(OR('📂 Raw Data'!D259="F",'📂 Raw Data'!D259="f"),"Female",PROPER('📂 Raw Data'!D259)))</f>
        <v>Female</v>
      </c>
      <c r="E259" s="17" t="str">
        <f>UPPER(TRIM('📂 Raw Data'!E259))</f>
        <v>FINANCE</v>
      </c>
      <c r="F259" s="16" t="str">
        <f>PROPER(TRIM('📂 Raw Data'!F259))</f>
        <v>Senior Accountant</v>
      </c>
      <c r="G259" s="16" t="str">
        <f>IFERROR(IF(ISNUMBER('📂 Raw Data'!G259),TEXT('📂 Raw Data'!G259,"DD-MMM-YYYY"),TEXT(DATEVALUE('📂 Raw Data'!G259),"DD-MMM-YYYY")),"Invalid Date")</f>
        <v>09-Feb-2021</v>
      </c>
      <c r="H259" s="16" t="str">
        <f>PROPER(TRIM('📂 Raw Data'!H259))</f>
        <v>Pune</v>
      </c>
      <c r="I259" s="18">
        <f>IFERROR(IF(ISNUMBER('📂 Raw Data'!I259),ABS('📂 Raw Data'!I259),0),0)</f>
        <v>105065</v>
      </c>
      <c r="J259" s="18">
        <f>IFERROR(ABS('📂 Raw Data'!J259),0)</f>
        <v>35636</v>
      </c>
      <c r="K259" s="18">
        <f>IFERROR(ABS('📂 Raw Data'!K259),0)</f>
        <v>3978</v>
      </c>
      <c r="L259" s="18">
        <f>IFERROR(ABS('📂 Raw Data'!L259),0)</f>
        <v>7620</v>
      </c>
      <c r="M259" s="18">
        <f>IFERROR(ABS('📂 Raw Data'!M259),0)</f>
        <v>7981</v>
      </c>
      <c r="N259" s="18">
        <f t="shared" si="3"/>
        <v>160280</v>
      </c>
      <c r="O259" s="16">
        <f>IFERROR(ABS('📂 Raw Data'!O259),0)</f>
        <v>21</v>
      </c>
      <c r="P259" s="20">
        <f>IFERROR(ABS('📂 Raw Data'!P128),0)</f>
        <v>53</v>
      </c>
      <c r="Q259" s="19" t="str">
        <f>'📂 Raw Data'!Q259</f>
        <v>Below Average</v>
      </c>
      <c r="R259" s="55" t="str">
        <f>'📂 Raw Data'!R259</f>
        <v>Active</v>
      </c>
    </row>
    <row r="260" spans="1:18" ht="18" customHeight="1">
      <c r="A260" s="54" t="str">
        <f>'📂 Raw Data'!A260</f>
        <v>EMP1258</v>
      </c>
      <c r="B260" s="16" t="str">
        <f>PROPER(TRIM('📂 Raw Data'!B260))</f>
        <v>Gaurav Dubey</v>
      </c>
      <c r="C260" s="16">
        <f>'📂 Raw Data'!C260</f>
        <v>49</v>
      </c>
      <c r="D260" s="16" t="str">
        <f>IF(OR('📂 Raw Data'!D260="M",'📂 Raw Data'!D260="m"),"Male",IF(OR('📂 Raw Data'!D260="F",'📂 Raw Data'!D260="f"),"Female",PROPER('📂 Raw Data'!D260)))</f>
        <v>Male</v>
      </c>
      <c r="E260" s="17" t="str">
        <f>UPPER(TRIM('📂 Raw Data'!E260))</f>
        <v>ENGINEERING</v>
      </c>
      <c r="F260" s="16" t="str">
        <f>PROPER(TRIM('📂 Raw Data'!F260))</f>
        <v>Software Engineer</v>
      </c>
      <c r="G260" s="16" t="str">
        <f>IFERROR(IF(ISNUMBER('📂 Raw Data'!G260),TEXT('📂 Raw Data'!G260,"DD-MMM-YYYY"),TEXT(DATEVALUE('📂 Raw Data'!G260),"DD-MMM-YYYY")),"Invalid Date")</f>
        <v>22-Aug-2022</v>
      </c>
      <c r="H260" s="16" t="str">
        <f>PROPER(TRIM('📂 Raw Data'!H260))</f>
        <v>Kolkata</v>
      </c>
      <c r="I260" s="18">
        <f>IFERROR(IF(ISNUMBER('📂 Raw Data'!I260),ABS('📂 Raw Data'!I260),0),0)</f>
        <v>102242</v>
      </c>
      <c r="J260" s="18">
        <f>IFERROR(ABS('📂 Raw Data'!J260),0)</f>
        <v>50225</v>
      </c>
      <c r="K260" s="18">
        <f>IFERROR(ABS('📂 Raw Data'!K260),0)</f>
        <v>4205</v>
      </c>
      <c r="L260" s="18">
        <f>IFERROR(ABS('📂 Raw Data'!L260),0)</f>
        <v>7895</v>
      </c>
      <c r="M260" s="18">
        <f>IFERROR(ABS('📂 Raw Data'!M260),0)</f>
        <v>5086</v>
      </c>
      <c r="N260" s="18">
        <f t="shared" ref="N260:N323" si="4">SUM(M260,L260,K260,J260,I260,)</f>
        <v>169653</v>
      </c>
      <c r="O260" s="16">
        <f>IFERROR(ABS('📂 Raw Data'!O260),0)</f>
        <v>15</v>
      </c>
      <c r="P260" s="20">
        <f>IFERROR(ABS('📂 Raw Data'!P129),0)</f>
        <v>85</v>
      </c>
      <c r="Q260" s="19" t="str">
        <f>'📂 Raw Data'!Q260</f>
        <v>Good</v>
      </c>
      <c r="R260" s="55" t="str">
        <f>'📂 Raw Data'!R260</f>
        <v>Resigned</v>
      </c>
    </row>
    <row r="261" spans="1:18" ht="18" customHeight="1">
      <c r="A261" s="54" t="str">
        <f>'📂 Raw Data'!A261</f>
        <v>EMP1259</v>
      </c>
      <c r="B261" s="16" t="str">
        <f>PROPER(TRIM('📂 Raw Data'!B261))</f>
        <v>Vimal Kapoor</v>
      </c>
      <c r="C261" s="16">
        <f>'📂 Raw Data'!C261</f>
        <v>39</v>
      </c>
      <c r="D261" s="16" t="str">
        <f>IF(OR('📂 Raw Data'!D261="M",'📂 Raw Data'!D261="m"),"Male",IF(OR('📂 Raw Data'!D261="F",'📂 Raw Data'!D261="f"),"Female",PROPER('📂 Raw Data'!D261)))</f>
        <v>Male</v>
      </c>
      <c r="E261" s="17" t="str">
        <f>UPPER(TRIM('📂 Raw Data'!E261))</f>
        <v>OPERATIONS</v>
      </c>
      <c r="F261" s="16" t="str">
        <f>PROPER(TRIM('📂 Raw Data'!F261))</f>
        <v>Logistics Manager</v>
      </c>
      <c r="G261" s="16" t="str">
        <f>IFERROR(IF(ISNUMBER('📂 Raw Data'!G261),TEXT('📂 Raw Data'!G261,"DD-MMM-YYYY"),TEXT(DATEVALUE('📂 Raw Data'!G261),"DD-MMM-YYYY")),"Invalid Date")</f>
        <v>13-Feb-2017</v>
      </c>
      <c r="H261" s="16" t="str">
        <f>PROPER(TRIM('📂 Raw Data'!H261))</f>
        <v>Chennai</v>
      </c>
      <c r="I261" s="18">
        <f>IFERROR(IF(ISNUMBER('📂 Raw Data'!I261),ABS('📂 Raw Data'!I261),0),0)</f>
        <v>111182</v>
      </c>
      <c r="J261" s="18">
        <f>IFERROR(ABS('📂 Raw Data'!J261),0)</f>
        <v>46709</v>
      </c>
      <c r="K261" s="18">
        <f>IFERROR(ABS('📂 Raw Data'!K261),0)</f>
        <v>7273</v>
      </c>
      <c r="L261" s="18">
        <f>IFERROR(ABS('📂 Raw Data'!L261),0)</f>
        <v>4129</v>
      </c>
      <c r="M261" s="18">
        <f>IFERROR(ABS('📂 Raw Data'!M261),0)</f>
        <v>4151</v>
      </c>
      <c r="N261" s="18">
        <f t="shared" si="4"/>
        <v>173444</v>
      </c>
      <c r="O261" s="16">
        <f>IFERROR(ABS('📂 Raw Data'!O261),0)</f>
        <v>21</v>
      </c>
      <c r="P261" s="20">
        <f>IFERROR(ABS('📂 Raw Data'!P130),0)</f>
        <v>55</v>
      </c>
      <c r="Q261" s="19" t="str">
        <f>'📂 Raw Data'!Q261</f>
        <v>Good</v>
      </c>
      <c r="R261" s="55" t="str">
        <f>'📂 Raw Data'!R261</f>
        <v>Active</v>
      </c>
    </row>
    <row r="262" spans="1:18" ht="18" customHeight="1">
      <c r="A262" s="54" t="str">
        <f>'📂 Raw Data'!A262</f>
        <v>EMP1260</v>
      </c>
      <c r="B262" s="16" t="str">
        <f>PROPER(TRIM('📂 Raw Data'!B262))</f>
        <v>Sunita Eapen</v>
      </c>
      <c r="C262" s="16">
        <f>'📂 Raw Data'!C262</f>
        <v>34</v>
      </c>
      <c r="D262" s="16" t="str">
        <f>IF(OR('📂 Raw Data'!D262="M",'📂 Raw Data'!D262="m"),"Male",IF(OR('📂 Raw Data'!D262="F",'📂 Raw Data'!D262="f"),"Female",PROPER('📂 Raw Data'!D262)))</f>
        <v>Male</v>
      </c>
      <c r="E262" s="17" t="str">
        <f>UPPER(TRIM('📂 Raw Data'!E262))</f>
        <v>SALES</v>
      </c>
      <c r="F262" s="16" t="str">
        <f>PROPER(TRIM('📂 Raw Data'!F262))</f>
        <v>Business Dev</v>
      </c>
      <c r="G262" s="16" t="str">
        <f>IFERROR(IF(ISNUMBER('📂 Raw Data'!G262),TEXT('📂 Raw Data'!G262,"DD-MMM-YYYY"),TEXT(DATEVALUE('📂 Raw Data'!G262),"DD-MMM-YYYY")),"Invalid Date")</f>
        <v>27-May-2023</v>
      </c>
      <c r="H262" s="16" t="str">
        <f>PROPER(TRIM('📂 Raw Data'!H262))</f>
        <v>Delhi</v>
      </c>
      <c r="I262" s="18">
        <f>IFERROR(IF(ISNUMBER('📂 Raw Data'!I262),ABS('📂 Raw Data'!I262),0),0)</f>
        <v>116946</v>
      </c>
      <c r="J262" s="18">
        <f>IFERROR(ABS('📂 Raw Data'!J262),0)</f>
        <v>47897</v>
      </c>
      <c r="K262" s="18">
        <f>IFERROR(ABS('📂 Raw Data'!K262),0)</f>
        <v>7143</v>
      </c>
      <c r="L262" s="18">
        <f>IFERROR(ABS('📂 Raw Data'!L262),0)</f>
        <v>5831</v>
      </c>
      <c r="M262" s="18">
        <f>IFERROR(ABS('📂 Raw Data'!M262),0)</f>
        <v>7036</v>
      </c>
      <c r="N262" s="18">
        <f t="shared" si="4"/>
        <v>184853</v>
      </c>
      <c r="O262" s="16">
        <f>IFERROR(ABS('📂 Raw Data'!O262),0)</f>
        <v>23</v>
      </c>
      <c r="P262" s="20">
        <f>IFERROR(ABS('📂 Raw Data'!P131),0)</f>
        <v>99</v>
      </c>
      <c r="Q262" s="19" t="str">
        <f>'📂 Raw Data'!Q262</f>
        <v>Average</v>
      </c>
      <c r="R262" s="55" t="str">
        <f>'📂 Raw Data'!R262</f>
        <v>Resigned</v>
      </c>
    </row>
    <row r="263" spans="1:18" ht="18" customHeight="1">
      <c r="A263" s="54" t="str">
        <f>'📂 Raw Data'!A263</f>
        <v>EMP1261</v>
      </c>
      <c r="B263" s="16" t="str">
        <f>PROPER(TRIM('📂 Raw Data'!B263))</f>
        <v>Aditi Reddy</v>
      </c>
      <c r="C263" s="16">
        <f>'📂 Raw Data'!C263</f>
        <v>48</v>
      </c>
      <c r="D263" s="16" t="str">
        <f>IF(OR('📂 Raw Data'!D263="M",'📂 Raw Data'!D263="m"),"Male",IF(OR('📂 Raw Data'!D263="F",'📂 Raw Data'!D263="f"),"Female",PROPER('📂 Raw Data'!D263)))</f>
        <v>Female</v>
      </c>
      <c r="E263" s="17" t="str">
        <f>UPPER(TRIM('📂 Raw Data'!E263))</f>
        <v>OPERATIONS</v>
      </c>
      <c r="F263" s="16" t="str">
        <f>PROPER(TRIM('📂 Raw Data'!F263))</f>
        <v>Logistics Manager</v>
      </c>
      <c r="G263" s="16" t="str">
        <f>IFERROR(IF(ISNUMBER('📂 Raw Data'!G263),TEXT('📂 Raw Data'!G263,"DD-MMM-YYYY"),TEXT(DATEVALUE('📂 Raw Data'!G263),"DD-MMM-YYYY")),"Invalid Date")</f>
        <v>09-Jan-2017</v>
      </c>
      <c r="H263" s="16" t="str">
        <f>PROPER(TRIM('📂 Raw Data'!H263))</f>
        <v>Pune</v>
      </c>
      <c r="I263" s="18">
        <f>IFERROR(IF(ISNUMBER('📂 Raw Data'!I263),ABS('📂 Raw Data'!I263),0),0)</f>
        <v>116004</v>
      </c>
      <c r="J263" s="18">
        <f>IFERROR(ABS('📂 Raw Data'!J263),0)</f>
        <v>49577</v>
      </c>
      <c r="K263" s="18">
        <f>IFERROR(ABS('📂 Raw Data'!K263),0)</f>
        <v>13638</v>
      </c>
      <c r="L263" s="18">
        <f>IFERROR(ABS('📂 Raw Data'!L263),0)</f>
        <v>945</v>
      </c>
      <c r="M263" s="18">
        <f>IFERROR(ABS('📂 Raw Data'!M263),0)</f>
        <v>7232</v>
      </c>
      <c r="N263" s="18">
        <f t="shared" si="4"/>
        <v>187396</v>
      </c>
      <c r="O263" s="16">
        <f>IFERROR(ABS('📂 Raw Data'!O263),0)</f>
        <v>20</v>
      </c>
      <c r="P263" s="20">
        <f>IFERROR(ABS('📂 Raw Data'!P132),0)</f>
        <v>94</v>
      </c>
      <c r="Q263" s="19" t="str">
        <f>'📂 Raw Data'!Q263</f>
        <v>Average</v>
      </c>
      <c r="R263" s="55" t="str">
        <f>'📂 Raw Data'!R263</f>
        <v>On Leave</v>
      </c>
    </row>
    <row r="264" spans="1:18" ht="18" customHeight="1">
      <c r="A264" s="54" t="str">
        <f>'📂 Raw Data'!A264</f>
        <v>EMP1262</v>
      </c>
      <c r="B264" s="16" t="str">
        <f>PROPER(TRIM('📂 Raw Data'!B264))</f>
        <v>Riya Khanna</v>
      </c>
      <c r="C264" s="16">
        <f>'📂 Raw Data'!C264</f>
        <v>40</v>
      </c>
      <c r="D264" s="16" t="str">
        <f>IF(OR('📂 Raw Data'!D264="M",'📂 Raw Data'!D264="m"),"Male",IF(OR('📂 Raw Data'!D264="F",'📂 Raw Data'!D264="f"),"Female",PROPER('📂 Raw Data'!D264)))</f>
        <v>Male</v>
      </c>
      <c r="E264" s="17" t="str">
        <f>UPPER(TRIM('📂 Raw Data'!E264))</f>
        <v>FINANCE</v>
      </c>
      <c r="F264" s="16" t="str">
        <f>PROPER(TRIM('📂 Raw Data'!F264))</f>
        <v>Accountant</v>
      </c>
      <c r="G264" s="16" t="str">
        <f>IFERROR(IF(ISNUMBER('📂 Raw Data'!G264),TEXT('📂 Raw Data'!G264,"DD-MMM-YYYY"),TEXT(DATEVALUE('📂 Raw Data'!G264),"DD-MMM-YYYY")),"Invalid Date")</f>
        <v>01-Feb-2023</v>
      </c>
      <c r="H264" s="16" t="str">
        <f>PROPER(TRIM('📂 Raw Data'!H264))</f>
        <v>Pune</v>
      </c>
      <c r="I264" s="18">
        <f>IFERROR(IF(ISNUMBER('📂 Raw Data'!I264),ABS('📂 Raw Data'!I264),0),0)</f>
        <v>74921</v>
      </c>
      <c r="J264" s="18">
        <f>IFERROR(ABS('📂 Raw Data'!J264),0)</f>
        <v>24654</v>
      </c>
      <c r="K264" s="18">
        <f>IFERROR(ABS('📂 Raw Data'!K264),0)</f>
        <v>12981</v>
      </c>
      <c r="L264" s="18">
        <f>IFERROR(ABS('📂 Raw Data'!L264),0)</f>
        <v>463</v>
      </c>
      <c r="M264" s="18">
        <f>IFERROR(ABS('📂 Raw Data'!M264),0)</f>
        <v>2637</v>
      </c>
      <c r="N264" s="18">
        <f t="shared" si="4"/>
        <v>115656</v>
      </c>
      <c r="O264" s="16">
        <f>IFERROR(ABS('📂 Raw Data'!O264),0)</f>
        <v>19</v>
      </c>
      <c r="P264" s="20">
        <f>IFERROR(ABS('📂 Raw Data'!P133),0)</f>
        <v>74</v>
      </c>
      <c r="Q264" s="19" t="str">
        <f>'📂 Raw Data'!Q264</f>
        <v>Average</v>
      </c>
      <c r="R264" s="55" t="str">
        <f>'📂 Raw Data'!R264</f>
        <v>Active</v>
      </c>
    </row>
    <row r="265" spans="1:18" ht="18" customHeight="1">
      <c r="A265" s="54" t="str">
        <f>'📂 Raw Data'!A265</f>
        <v>EMP1263</v>
      </c>
      <c r="B265" s="16" t="str">
        <f>PROPER(TRIM('📂 Raw Data'!B265))</f>
        <v>Vimal Upadhyay</v>
      </c>
      <c r="C265" s="16">
        <f>'📂 Raw Data'!C265</f>
        <v>37</v>
      </c>
      <c r="D265" s="16" t="str">
        <f>IF(OR('📂 Raw Data'!D265="M",'📂 Raw Data'!D265="m"),"Male",IF(OR('📂 Raw Data'!D265="F",'📂 Raw Data'!D265="f"),"Female",PROPER('📂 Raw Data'!D265)))</f>
        <v>Female</v>
      </c>
      <c r="E265" s="17" t="str">
        <f>UPPER(TRIM('📂 Raw Data'!E265))</f>
        <v>SALES</v>
      </c>
      <c r="F265" s="16" t="str">
        <f>PROPER(TRIM('📂 Raw Data'!F265))</f>
        <v>Sales Executive</v>
      </c>
      <c r="G265" s="16" t="str">
        <f>IFERROR(IF(ISNUMBER('📂 Raw Data'!G265),TEXT('📂 Raw Data'!G265,"DD-MMM-YYYY"),TEXT(DATEVALUE('📂 Raw Data'!G265),"DD-MMM-YYYY")),"Invalid Date")</f>
        <v>04-Aug-2020</v>
      </c>
      <c r="H265" s="16" t="str">
        <f>PROPER(TRIM('📂 Raw Data'!H265))</f>
        <v>Hyderabad</v>
      </c>
      <c r="I265" s="18">
        <f>IFERROR(IF(ISNUMBER('📂 Raw Data'!I265),ABS('📂 Raw Data'!I265),0),0)</f>
        <v>105754</v>
      </c>
      <c r="J265" s="18">
        <f>IFERROR(ABS('📂 Raw Data'!J265),0)</f>
        <v>50086</v>
      </c>
      <c r="K265" s="18">
        <f>IFERROR(ABS('📂 Raw Data'!K265),0)</f>
        <v>14115</v>
      </c>
      <c r="L265" s="18">
        <f>IFERROR(ABS('📂 Raw Data'!L265),0)</f>
        <v>4602</v>
      </c>
      <c r="M265" s="18">
        <f>IFERROR(ABS('📂 Raw Data'!M265),0)</f>
        <v>2837</v>
      </c>
      <c r="N265" s="18">
        <f t="shared" si="4"/>
        <v>177394</v>
      </c>
      <c r="O265" s="16">
        <f>IFERROR(ABS('📂 Raw Data'!O265),0)</f>
        <v>26</v>
      </c>
      <c r="P265" s="20">
        <f>IFERROR(ABS('📂 Raw Data'!P134),0)</f>
        <v>90</v>
      </c>
      <c r="Q265" s="19" t="str">
        <f>'📂 Raw Data'!Q265</f>
        <v>Excellent</v>
      </c>
      <c r="R265" s="55" t="str">
        <f>'📂 Raw Data'!R265</f>
        <v>On Leave</v>
      </c>
    </row>
    <row r="266" spans="1:18" ht="18" customHeight="1">
      <c r="A266" s="54" t="str">
        <f>'📂 Raw Data'!A266</f>
        <v>EMP1264</v>
      </c>
      <c r="B266" s="16" t="str">
        <f>PROPER(TRIM('📂 Raw Data'!B266))</f>
        <v>Sunita Mehta</v>
      </c>
      <c r="C266" s="16">
        <f>'📂 Raw Data'!C266</f>
        <v>36</v>
      </c>
      <c r="D266" s="16" t="str">
        <f>IF(OR('📂 Raw Data'!D266="M",'📂 Raw Data'!D266="m"),"Male",IF(OR('📂 Raw Data'!D266="F",'📂 Raw Data'!D266="f"),"Female",PROPER('📂 Raw Data'!D266)))</f>
        <v>Female</v>
      </c>
      <c r="E266" s="17" t="str">
        <f>UPPER(TRIM('📂 Raw Data'!E266))</f>
        <v>FINANCE</v>
      </c>
      <c r="F266" s="16" t="str">
        <f>PROPER(TRIM('📂 Raw Data'!F266))</f>
        <v>Auditor</v>
      </c>
      <c r="G266" s="16" t="str">
        <f>IFERROR(IF(ISNUMBER('📂 Raw Data'!G266),TEXT('📂 Raw Data'!G266,"DD-MMM-YYYY"),TEXT(DATEVALUE('📂 Raw Data'!G266),"DD-MMM-YYYY")),"Invalid Date")</f>
        <v>11-Nov-2021</v>
      </c>
      <c r="H266" s="16" t="str">
        <f>PROPER(TRIM('📂 Raw Data'!H266))</f>
        <v>Pune</v>
      </c>
      <c r="I266" s="18">
        <f>IFERROR(IF(ISNUMBER('📂 Raw Data'!I266),ABS('📂 Raw Data'!I266),0),0)</f>
        <v>97368</v>
      </c>
      <c r="J266" s="18">
        <f>IFERROR(ABS('📂 Raw Data'!J266),0)</f>
        <v>30258</v>
      </c>
      <c r="K266" s="18">
        <f>IFERROR(ABS('📂 Raw Data'!K266),0)</f>
        <v>14184</v>
      </c>
      <c r="L266" s="18">
        <f>IFERROR(ABS('📂 Raw Data'!L266),0)</f>
        <v>2058</v>
      </c>
      <c r="M266" s="18">
        <f>IFERROR(ABS('📂 Raw Data'!M266),0)</f>
        <v>2663</v>
      </c>
      <c r="N266" s="18">
        <f t="shared" si="4"/>
        <v>146531</v>
      </c>
      <c r="O266" s="16">
        <f>IFERROR(ABS('📂 Raw Data'!O266),0)</f>
        <v>24</v>
      </c>
      <c r="P266" s="20">
        <f>IFERROR(ABS('📂 Raw Data'!P135),0)</f>
        <v>40</v>
      </c>
      <c r="Q266" s="19" t="str">
        <f>'📂 Raw Data'!Q266</f>
        <v>Average</v>
      </c>
      <c r="R266" s="55" t="str">
        <f>'📂 Raw Data'!R266</f>
        <v>On Leave</v>
      </c>
    </row>
    <row r="267" spans="1:18" ht="18" customHeight="1">
      <c r="A267" s="54" t="str">
        <f>'📂 Raw Data'!A267</f>
        <v>EMP1265</v>
      </c>
      <c r="B267" s="16" t="str">
        <f>PROPER(TRIM('📂 Raw Data'!B267))</f>
        <v>Shreya Chawla</v>
      </c>
      <c r="C267" s="16">
        <f>'📂 Raw Data'!C267</f>
        <v>46</v>
      </c>
      <c r="D267" s="16" t="str">
        <f>IF(OR('📂 Raw Data'!D267="M",'📂 Raw Data'!D267="m"),"Male",IF(OR('📂 Raw Data'!D267="F",'📂 Raw Data'!D267="f"),"Female",PROPER('📂 Raw Data'!D267)))</f>
        <v>Male</v>
      </c>
      <c r="E267" s="17" t="str">
        <f>UPPER(TRIM('📂 Raw Data'!E267))</f>
        <v>MARKETING</v>
      </c>
      <c r="F267" s="16" t="str">
        <f>PROPER(TRIM('📂 Raw Data'!F267))</f>
        <v>Content Writer</v>
      </c>
      <c r="G267" s="16" t="str">
        <f>IFERROR(IF(ISNUMBER('📂 Raw Data'!G267),TEXT('📂 Raw Data'!G267,"DD-MMM-YYYY"),TEXT(DATEVALUE('📂 Raw Data'!G267),"DD-MMM-YYYY")),"Invalid Date")</f>
        <v>15-May-2018</v>
      </c>
      <c r="H267" s="16" t="str">
        <f>PROPER(TRIM('📂 Raw Data'!H267))</f>
        <v>Mumbai</v>
      </c>
      <c r="I267" s="18">
        <f>IFERROR(IF(ISNUMBER('📂 Raw Data'!I267),ABS('📂 Raw Data'!I267),0),0)</f>
        <v>48255</v>
      </c>
      <c r="J267" s="18">
        <f>IFERROR(ABS('📂 Raw Data'!J267),0)</f>
        <v>23968</v>
      </c>
      <c r="K267" s="18">
        <f>IFERROR(ABS('📂 Raw Data'!K267),0)</f>
        <v>3220</v>
      </c>
      <c r="L267" s="18">
        <f>IFERROR(ABS('📂 Raw Data'!L267),0)</f>
        <v>1531</v>
      </c>
      <c r="M267" s="18">
        <f>IFERROR(ABS('📂 Raw Data'!M267),0)</f>
        <v>2423</v>
      </c>
      <c r="N267" s="18">
        <f t="shared" si="4"/>
        <v>79397</v>
      </c>
      <c r="O267" s="16">
        <f>IFERROR(ABS('📂 Raw Data'!O267),0)</f>
        <v>26</v>
      </c>
      <c r="P267" s="20">
        <f>IFERROR(ABS('📂 Raw Data'!P136),0)</f>
        <v>50</v>
      </c>
      <c r="Q267" s="19" t="str">
        <f>'📂 Raw Data'!Q267</f>
        <v>Average</v>
      </c>
      <c r="R267" s="55" t="str">
        <f>'📂 Raw Data'!R267</f>
        <v>Active</v>
      </c>
    </row>
    <row r="268" spans="1:18" ht="18" customHeight="1">
      <c r="A268" s="54" t="str">
        <f>'📂 Raw Data'!A268</f>
        <v>EMP1266</v>
      </c>
      <c r="B268" s="16" t="str">
        <f>PROPER(TRIM('📂 Raw Data'!B268))</f>
        <v>Hina Thakur</v>
      </c>
      <c r="C268" s="16">
        <f>'📂 Raw Data'!C268</f>
        <v>41</v>
      </c>
      <c r="D268" s="16" t="str">
        <f>IF(OR('📂 Raw Data'!D268="M",'📂 Raw Data'!D268="m"),"Male",IF(OR('📂 Raw Data'!D268="F",'📂 Raw Data'!D268="f"),"Female",PROPER('📂 Raw Data'!D268)))</f>
        <v>Male</v>
      </c>
      <c r="E268" s="17" t="str">
        <f>UPPER(TRIM('📂 Raw Data'!E268))</f>
        <v>SALES</v>
      </c>
      <c r="F268" s="16" t="str">
        <f>PROPER(TRIM('📂 Raw Data'!F268))</f>
        <v>Senior Sales</v>
      </c>
      <c r="G268" s="16" t="str">
        <f>IFERROR(IF(ISNUMBER('📂 Raw Data'!G268),TEXT('📂 Raw Data'!G268,"DD-MMM-YYYY"),TEXT(DATEVALUE('📂 Raw Data'!G268),"DD-MMM-YYYY")),"Invalid Date")</f>
        <v>11-Jan-2019</v>
      </c>
      <c r="H268" s="16" t="str">
        <f>PROPER(TRIM('📂 Raw Data'!H268))</f>
        <v>Chennai</v>
      </c>
      <c r="I268" s="18">
        <f>IFERROR(IF(ISNUMBER('📂 Raw Data'!I268),ABS('📂 Raw Data'!I268),0),0)</f>
        <v>86122</v>
      </c>
      <c r="J268" s="18">
        <f>IFERROR(ABS('📂 Raw Data'!J268),0)</f>
        <v>38061</v>
      </c>
      <c r="K268" s="18">
        <f>IFERROR(ABS('📂 Raw Data'!K268),0)</f>
        <v>4536</v>
      </c>
      <c r="L268" s="18">
        <f>IFERROR(ABS('📂 Raw Data'!L268),0)</f>
        <v>327</v>
      </c>
      <c r="M268" s="18">
        <f>IFERROR(ABS('📂 Raw Data'!M268),0)</f>
        <v>2259</v>
      </c>
      <c r="N268" s="18">
        <f t="shared" si="4"/>
        <v>131305</v>
      </c>
      <c r="O268" s="16">
        <f>IFERROR(ABS('📂 Raw Data'!O268),0)</f>
        <v>20</v>
      </c>
      <c r="P268" s="20">
        <f>IFERROR(ABS('📂 Raw Data'!P137),0)</f>
        <v>75</v>
      </c>
      <c r="Q268" s="19" t="str">
        <f>'📂 Raw Data'!Q268</f>
        <v>Excellent</v>
      </c>
      <c r="R268" s="55" t="str">
        <f>'📂 Raw Data'!R268</f>
        <v>Resigned</v>
      </c>
    </row>
    <row r="269" spans="1:18" ht="18" customHeight="1">
      <c r="A269" s="54" t="str">
        <f>'📂 Raw Data'!A269</f>
        <v>EMP1267</v>
      </c>
      <c r="B269" s="16" t="str">
        <f>PROPER(TRIM('📂 Raw Data'!B269))</f>
        <v>Tejal Chauhan</v>
      </c>
      <c r="C269" s="16">
        <f>'📂 Raw Data'!C269</f>
        <v>27</v>
      </c>
      <c r="D269" s="16" t="str">
        <f>IF(OR('📂 Raw Data'!D269="M",'📂 Raw Data'!D269="m"),"Male",IF(OR('📂 Raw Data'!D269="F",'📂 Raw Data'!D269="f"),"Female",PROPER('📂 Raw Data'!D269)))</f>
        <v>Female</v>
      </c>
      <c r="E269" s="17" t="str">
        <f>UPPER(TRIM('📂 Raw Data'!E269))</f>
        <v>OPERATIONS</v>
      </c>
      <c r="F269" s="16" t="str">
        <f>PROPER(TRIM('📂 Raw Data'!F269))</f>
        <v>Admin Officer</v>
      </c>
      <c r="G269" s="16" t="str">
        <f>IFERROR(IF(ISNUMBER('📂 Raw Data'!G269),TEXT('📂 Raw Data'!G269,"DD-MMM-YYYY"),TEXT(DATEVALUE('📂 Raw Data'!G269),"DD-MMM-YYYY")),"Invalid Date")</f>
        <v>06-Apr-2023</v>
      </c>
      <c r="H269" s="16" t="str">
        <f>PROPER(TRIM('📂 Raw Data'!H269))</f>
        <v>Bangalore</v>
      </c>
      <c r="I269" s="18">
        <f>IFERROR(IF(ISNUMBER('📂 Raw Data'!I269),ABS('📂 Raw Data'!I269),0),0)</f>
        <v>93236</v>
      </c>
      <c r="J269" s="18">
        <f>IFERROR(ABS('📂 Raw Data'!J269),0)</f>
        <v>29242</v>
      </c>
      <c r="K269" s="18">
        <f>IFERROR(ABS('📂 Raw Data'!K269),0)</f>
        <v>10276</v>
      </c>
      <c r="L269" s="18">
        <f>IFERROR(ABS('📂 Raw Data'!L269),0)</f>
        <v>1305</v>
      </c>
      <c r="M269" s="18">
        <f>IFERROR(ABS('📂 Raw Data'!M269),0)</f>
        <v>4407</v>
      </c>
      <c r="N269" s="18">
        <f t="shared" si="4"/>
        <v>138466</v>
      </c>
      <c r="O269" s="16">
        <f>IFERROR(ABS('📂 Raw Data'!O269),0)</f>
        <v>23</v>
      </c>
      <c r="P269" s="20">
        <f>IFERROR(ABS('📂 Raw Data'!P138),0)</f>
        <v>97</v>
      </c>
      <c r="Q269" s="19" t="str">
        <f>'📂 Raw Data'!Q269</f>
        <v>Average</v>
      </c>
      <c r="R269" s="55" t="str">
        <f>'📂 Raw Data'!R269</f>
        <v>Active</v>
      </c>
    </row>
    <row r="270" spans="1:18" ht="18" customHeight="1">
      <c r="A270" s="54" t="str">
        <f>'📂 Raw Data'!A270</f>
        <v>EMP1268</v>
      </c>
      <c r="B270" s="16" t="str">
        <f>PROPER(TRIM('📂 Raw Data'!B270))</f>
        <v>Bina Gupta</v>
      </c>
      <c r="C270" s="16">
        <f>'📂 Raw Data'!C270</f>
        <v>44</v>
      </c>
      <c r="D270" s="16" t="str">
        <f>IF(OR('📂 Raw Data'!D270="M",'📂 Raw Data'!D270="m"),"Male",IF(OR('📂 Raw Data'!D270="F",'📂 Raw Data'!D270="f"),"Female",PROPER('📂 Raw Data'!D270)))</f>
        <v>Male</v>
      </c>
      <c r="E270" s="17" t="str">
        <f>UPPER(TRIM('📂 Raw Data'!E270))</f>
        <v>HR</v>
      </c>
      <c r="F270" s="16" t="str">
        <f>PROPER(TRIM('📂 Raw Data'!F270))</f>
        <v>Recruiter</v>
      </c>
      <c r="G270" s="16" t="str">
        <f>IFERROR(IF(ISNUMBER('📂 Raw Data'!G270),TEXT('📂 Raw Data'!G270,"DD-MMM-YYYY"),TEXT(DATEVALUE('📂 Raw Data'!G270),"DD-MMM-YYYY")),"Invalid Date")</f>
        <v>25-Apr-2019</v>
      </c>
      <c r="H270" s="16" t="str">
        <f>PROPER(TRIM('📂 Raw Data'!H270))</f>
        <v>Chennai</v>
      </c>
      <c r="I270" s="18">
        <f>IFERROR(IF(ISNUMBER('📂 Raw Data'!I270),ABS('📂 Raw Data'!I270),0),0)</f>
        <v>106039</v>
      </c>
      <c r="J270" s="18">
        <f>IFERROR(ABS('📂 Raw Data'!J270),0)</f>
        <v>43062</v>
      </c>
      <c r="K270" s="18">
        <f>IFERROR(ABS('📂 Raw Data'!K270),0)</f>
        <v>11196</v>
      </c>
      <c r="L270" s="18">
        <f>IFERROR(ABS('📂 Raw Data'!L270),0)</f>
        <v>6747</v>
      </c>
      <c r="M270" s="18">
        <f>IFERROR(ABS('📂 Raw Data'!M270),0)</f>
        <v>7161</v>
      </c>
      <c r="N270" s="18">
        <f t="shared" si="4"/>
        <v>174205</v>
      </c>
      <c r="O270" s="16">
        <f>IFERROR(ABS('📂 Raw Data'!O270),0)</f>
        <v>25</v>
      </c>
      <c r="P270" s="20">
        <f>IFERROR(ABS('📂 Raw Data'!P139),0)</f>
        <v>69</v>
      </c>
      <c r="Q270" s="19" t="str">
        <f>'📂 Raw Data'!Q270</f>
        <v>Poor</v>
      </c>
      <c r="R270" s="55" t="str">
        <f>'📂 Raw Data'!R270</f>
        <v>Active</v>
      </c>
    </row>
    <row r="271" spans="1:18" ht="18" customHeight="1">
      <c r="A271" s="54" t="str">
        <f>'📂 Raw Data'!A271</f>
        <v>EMP1269</v>
      </c>
      <c r="B271" s="16" t="str">
        <f>PROPER(TRIM('📂 Raw Data'!B271))</f>
        <v>Xena Shah</v>
      </c>
      <c r="C271" s="16">
        <f>'📂 Raw Data'!C271</f>
        <v>54</v>
      </c>
      <c r="D271" s="16" t="str">
        <f>IF(OR('📂 Raw Data'!D271="M",'📂 Raw Data'!D271="m"),"Male",IF(OR('📂 Raw Data'!D271="F",'📂 Raw Data'!D271="f"),"Female",PROPER('📂 Raw Data'!D271)))</f>
        <v>Female</v>
      </c>
      <c r="E271" s="17" t="str">
        <f>UPPER(TRIM('📂 Raw Data'!E271))</f>
        <v>SALES</v>
      </c>
      <c r="F271" s="16" t="str">
        <f>PROPER(TRIM('📂 Raw Data'!F271))</f>
        <v>Sales Executive</v>
      </c>
      <c r="G271" s="16" t="str">
        <f>IFERROR(IF(ISNUMBER('📂 Raw Data'!G271),TEXT('📂 Raw Data'!G271,"DD-MMM-YYYY"),TEXT(DATEVALUE('📂 Raw Data'!G271),"DD-MMM-YYYY")),"Invalid Date")</f>
        <v>26-Jul-2020</v>
      </c>
      <c r="H271" s="16" t="str">
        <f>PROPER(TRIM('📂 Raw Data'!H271))</f>
        <v>Kolkata</v>
      </c>
      <c r="I271" s="18">
        <f>IFERROR(IF(ISNUMBER('📂 Raw Data'!I271),ABS('📂 Raw Data'!I271),0),0)</f>
        <v>39860</v>
      </c>
      <c r="J271" s="18">
        <f>IFERROR(ABS('📂 Raw Data'!J271),0)</f>
        <v>15034</v>
      </c>
      <c r="K271" s="18">
        <f>IFERROR(ABS('📂 Raw Data'!K271),0)</f>
        <v>10851</v>
      </c>
      <c r="L271" s="18">
        <f>IFERROR(ABS('📂 Raw Data'!L271),0)</f>
        <v>5930</v>
      </c>
      <c r="M271" s="18">
        <f>IFERROR(ABS('📂 Raw Data'!M271),0)</f>
        <v>3316</v>
      </c>
      <c r="N271" s="18">
        <f t="shared" si="4"/>
        <v>74991</v>
      </c>
      <c r="O271" s="16">
        <f>IFERROR(ABS('📂 Raw Data'!O271),0)</f>
        <v>15</v>
      </c>
      <c r="P271" s="20">
        <f>IFERROR(ABS('📂 Raw Data'!P140),0)</f>
        <v>99</v>
      </c>
      <c r="Q271" s="19" t="str">
        <f>'📂 Raw Data'!Q271</f>
        <v>Excellent</v>
      </c>
      <c r="R271" s="55" t="str">
        <f>'📂 Raw Data'!R271</f>
        <v>Resigned</v>
      </c>
    </row>
    <row r="272" spans="1:18" ht="18" customHeight="1">
      <c r="A272" s="54" t="str">
        <f>'📂 Raw Data'!A272</f>
        <v>EMP1270</v>
      </c>
      <c r="B272" s="16" t="str">
        <f>PROPER(TRIM('📂 Raw Data'!B272))</f>
        <v>Lokesh Qadir</v>
      </c>
      <c r="C272" s="16">
        <f>'📂 Raw Data'!C272</f>
        <v>35</v>
      </c>
      <c r="D272" s="16" t="str">
        <f>IF(OR('📂 Raw Data'!D272="M",'📂 Raw Data'!D272="m"),"Male",IF(OR('📂 Raw Data'!D272="F",'📂 Raw Data'!D272="f"),"Female",PROPER('📂 Raw Data'!D272)))</f>
        <v>Male</v>
      </c>
      <c r="E272" s="17" t="str">
        <f>UPPER(TRIM('📂 Raw Data'!E272))</f>
        <v>HR</v>
      </c>
      <c r="F272" s="16" t="str">
        <f>PROPER(TRIM('📂 Raw Data'!F272))</f>
        <v>Hr Manager</v>
      </c>
      <c r="G272" s="16" t="str">
        <f>IFERROR(IF(ISNUMBER('📂 Raw Data'!G272),TEXT('📂 Raw Data'!G272,"DD-MMM-YYYY"),TEXT(DATEVALUE('📂 Raw Data'!G272),"DD-MMM-YYYY")),"Invalid Date")</f>
        <v>03-Sep-2020</v>
      </c>
      <c r="H272" s="16" t="str">
        <f>PROPER(TRIM('📂 Raw Data'!H272))</f>
        <v>Pune</v>
      </c>
      <c r="I272" s="18">
        <f>IFERROR(IF(ISNUMBER('📂 Raw Data'!I272),ABS('📂 Raw Data'!I272),0),0)</f>
        <v>37577</v>
      </c>
      <c r="J272" s="18">
        <f>IFERROR(ABS('📂 Raw Data'!J272),0)</f>
        <v>12531</v>
      </c>
      <c r="K272" s="18">
        <f>IFERROR(ABS('📂 Raw Data'!K272),0)</f>
        <v>14670</v>
      </c>
      <c r="L272" s="18">
        <f>IFERROR(ABS('📂 Raw Data'!L272),0)</f>
        <v>4407</v>
      </c>
      <c r="M272" s="18">
        <f>IFERROR(ABS('📂 Raw Data'!M272),0)</f>
        <v>5368</v>
      </c>
      <c r="N272" s="18">
        <f t="shared" si="4"/>
        <v>74553</v>
      </c>
      <c r="O272" s="16">
        <f>IFERROR(ABS('📂 Raw Data'!O272),0)</f>
        <v>15</v>
      </c>
      <c r="P272" s="20">
        <f>IFERROR(ABS('📂 Raw Data'!P141),0)</f>
        <v>48</v>
      </c>
      <c r="Q272" s="19" t="str">
        <f>'📂 Raw Data'!Q272</f>
        <v>Below Average</v>
      </c>
      <c r="R272" s="55" t="str">
        <f>'📂 Raw Data'!R272</f>
        <v>On Leave</v>
      </c>
    </row>
    <row r="273" spans="1:18" ht="18" customHeight="1">
      <c r="A273" s="54" t="str">
        <f>'📂 Raw Data'!A273</f>
        <v>EMP1271</v>
      </c>
      <c r="B273" s="16" t="str">
        <f>PROPER(TRIM('📂 Raw Data'!B273))</f>
        <v>Nikhil Khanna</v>
      </c>
      <c r="C273" s="16">
        <f>'📂 Raw Data'!C273</f>
        <v>43</v>
      </c>
      <c r="D273" s="16" t="str">
        <f>IF(OR('📂 Raw Data'!D273="M",'📂 Raw Data'!D273="m"),"Male",IF(OR('📂 Raw Data'!D273="F",'📂 Raw Data'!D273="f"),"Female",PROPER('📂 Raw Data'!D273)))</f>
        <v>Female</v>
      </c>
      <c r="E273" s="17" t="str">
        <f>UPPER(TRIM('📂 Raw Data'!E273))</f>
        <v>ENGINEERING</v>
      </c>
      <c r="F273" s="16" t="str">
        <f>PROPER(TRIM('📂 Raw Data'!F273))</f>
        <v>Senior Engineer</v>
      </c>
      <c r="G273" s="16" t="str">
        <f>IFERROR(IF(ISNUMBER('📂 Raw Data'!G273),TEXT('📂 Raw Data'!G273,"DD-MMM-YYYY"),TEXT(DATEVALUE('📂 Raw Data'!G273),"DD-MMM-YYYY")),"Invalid Date")</f>
        <v>24-Dec-2023</v>
      </c>
      <c r="H273" s="16" t="str">
        <f>PROPER(TRIM('📂 Raw Data'!H273))</f>
        <v>Mumbai</v>
      </c>
      <c r="I273" s="18">
        <f>IFERROR(IF(ISNUMBER('📂 Raw Data'!I273),ABS('📂 Raw Data'!I273),0),0)</f>
        <v>82047</v>
      </c>
      <c r="J273" s="18">
        <f>IFERROR(ABS('📂 Raw Data'!J273),0)</f>
        <v>35224</v>
      </c>
      <c r="K273" s="18">
        <f>IFERROR(ABS('📂 Raw Data'!K273),0)</f>
        <v>3181</v>
      </c>
      <c r="L273" s="18">
        <f>IFERROR(ABS('📂 Raw Data'!L273),0)</f>
        <v>6118</v>
      </c>
      <c r="M273" s="18">
        <f>IFERROR(ABS('📂 Raw Data'!M273),0)</f>
        <v>6620</v>
      </c>
      <c r="N273" s="18">
        <f t="shared" si="4"/>
        <v>133190</v>
      </c>
      <c r="O273" s="16">
        <f>IFERROR(ABS('📂 Raw Data'!O273),0)</f>
        <v>17</v>
      </c>
      <c r="P273" s="20">
        <f>IFERROR(ABS('📂 Raw Data'!P142),0)</f>
        <v>92</v>
      </c>
      <c r="Q273" s="19" t="str">
        <f>'📂 Raw Data'!Q273</f>
        <v>Good</v>
      </c>
      <c r="R273" s="55" t="str">
        <f>'📂 Raw Data'!R273</f>
        <v>Active</v>
      </c>
    </row>
    <row r="274" spans="1:18" ht="18" customHeight="1">
      <c r="A274" s="54" t="str">
        <f>'📂 Raw Data'!A274</f>
        <v>EMP1272</v>
      </c>
      <c r="B274" s="16" t="str">
        <f>PROPER(TRIM('📂 Raw Data'!B274))</f>
        <v>Chhaya Verma</v>
      </c>
      <c r="C274" s="16">
        <f>'📂 Raw Data'!C274</f>
        <v>22</v>
      </c>
      <c r="D274" s="16" t="str">
        <f>IF(OR('📂 Raw Data'!D274="M",'📂 Raw Data'!D274="m"),"Male",IF(OR('📂 Raw Data'!D274="F",'📂 Raw Data'!D274="f"),"Female",PROPER('📂 Raw Data'!D274)))</f>
        <v>Male</v>
      </c>
      <c r="E274" s="17" t="str">
        <f>UPPER(TRIM('📂 Raw Data'!E274))</f>
        <v>HR</v>
      </c>
      <c r="F274" s="16" t="str">
        <f>PROPER(TRIM('📂 Raw Data'!F274))</f>
        <v>Hr Executive</v>
      </c>
      <c r="G274" s="16" t="str">
        <f>IFERROR(IF(ISNUMBER('📂 Raw Data'!G274),TEXT('📂 Raw Data'!G274,"DD-MMM-YYYY"),TEXT(DATEVALUE('📂 Raw Data'!G274),"DD-MMM-YYYY")),"Invalid Date")</f>
        <v>14-May-2018</v>
      </c>
      <c r="H274" s="16" t="str">
        <f>PROPER(TRIM('📂 Raw Data'!H274))</f>
        <v>Pune</v>
      </c>
      <c r="I274" s="18">
        <f>IFERROR(IF(ISNUMBER('📂 Raw Data'!I274),ABS('📂 Raw Data'!I274),0),0)</f>
        <v>75860</v>
      </c>
      <c r="J274" s="18">
        <f>IFERROR(ABS('📂 Raw Data'!J274),0)</f>
        <v>29602</v>
      </c>
      <c r="K274" s="18">
        <f>IFERROR(ABS('📂 Raw Data'!K274),0)</f>
        <v>8626</v>
      </c>
      <c r="L274" s="18">
        <f>IFERROR(ABS('📂 Raw Data'!L274),0)</f>
        <v>3547</v>
      </c>
      <c r="M274" s="18">
        <f>IFERROR(ABS('📂 Raw Data'!M274),0)</f>
        <v>3591</v>
      </c>
      <c r="N274" s="18">
        <f t="shared" si="4"/>
        <v>121226</v>
      </c>
      <c r="O274" s="16">
        <f>IFERROR(ABS('📂 Raw Data'!O274),0)</f>
        <v>15</v>
      </c>
      <c r="P274" s="20">
        <f>IFERROR(ABS('📂 Raw Data'!P143),0)</f>
        <v>46</v>
      </c>
      <c r="Q274" s="19" t="str">
        <f>'📂 Raw Data'!Q274</f>
        <v>Poor</v>
      </c>
      <c r="R274" s="55" t="str">
        <f>'📂 Raw Data'!R274</f>
        <v>On Leave</v>
      </c>
    </row>
    <row r="275" spans="1:18" ht="18" customHeight="1">
      <c r="A275" s="54" t="str">
        <f>'📂 Raw Data'!A275</f>
        <v>EMP1273</v>
      </c>
      <c r="B275" s="16" t="str">
        <f>PROPER(TRIM('📂 Raw Data'!B275))</f>
        <v>Uma Tiwari</v>
      </c>
      <c r="C275" s="16">
        <f>'📂 Raw Data'!C275</f>
        <v>46</v>
      </c>
      <c r="D275" s="16" t="str">
        <f>IF(OR('📂 Raw Data'!D275="M",'📂 Raw Data'!D275="m"),"Male",IF(OR('📂 Raw Data'!D275="F",'📂 Raw Data'!D275="f"),"Female",PROPER('📂 Raw Data'!D275)))</f>
        <v>Female</v>
      </c>
      <c r="E275" s="17" t="str">
        <f>UPPER(TRIM('📂 Raw Data'!E275))</f>
        <v>ENGINEERING</v>
      </c>
      <c r="F275" s="16" t="str">
        <f>PROPER(TRIM('📂 Raw Data'!F275))</f>
        <v>Software Engineer</v>
      </c>
      <c r="G275" s="16" t="str">
        <f>IFERROR(IF(ISNUMBER('📂 Raw Data'!G275),TEXT('📂 Raw Data'!G275,"DD-MMM-YYYY"),TEXT(DATEVALUE('📂 Raw Data'!G275),"DD-MMM-YYYY")),"Invalid Date")</f>
        <v>04-Sep-2020</v>
      </c>
      <c r="H275" s="16" t="str">
        <f>PROPER(TRIM('📂 Raw Data'!H275))</f>
        <v>Chennai</v>
      </c>
      <c r="I275" s="18">
        <f>IFERROR(IF(ISNUMBER('📂 Raw Data'!I275),ABS('📂 Raw Data'!I275),0),0)</f>
        <v>62989</v>
      </c>
      <c r="J275" s="18">
        <f>IFERROR(ABS('📂 Raw Data'!J275),0)</f>
        <v>28810</v>
      </c>
      <c r="K275" s="18">
        <f>IFERROR(ABS('📂 Raw Data'!K275),0)</f>
        <v>6937</v>
      </c>
      <c r="L275" s="18">
        <f>IFERROR(ABS('📂 Raw Data'!L275),0)</f>
        <v>4968</v>
      </c>
      <c r="M275" s="18">
        <f>IFERROR(ABS('📂 Raw Data'!M275),0)</f>
        <v>1708</v>
      </c>
      <c r="N275" s="18">
        <f t="shared" si="4"/>
        <v>105412</v>
      </c>
      <c r="O275" s="16">
        <f>IFERROR(ABS('📂 Raw Data'!O275),0)</f>
        <v>19</v>
      </c>
      <c r="P275" s="20">
        <f>IFERROR(ABS('📂 Raw Data'!P144),0)</f>
        <v>58</v>
      </c>
      <c r="Q275" s="19" t="str">
        <f>'📂 Raw Data'!Q275</f>
        <v>Good</v>
      </c>
      <c r="R275" s="55" t="str">
        <f>'📂 Raw Data'!R275</f>
        <v>On Leave</v>
      </c>
    </row>
    <row r="276" spans="1:18" ht="18" customHeight="1">
      <c r="A276" s="54" t="str">
        <f>'📂 Raw Data'!A276</f>
        <v>EMP1274</v>
      </c>
      <c r="B276" s="16" t="str">
        <f>PROPER(TRIM('📂 Raw Data'!B276))</f>
        <v>Riya Dixit</v>
      </c>
      <c r="C276" s="16">
        <f>'📂 Raw Data'!C276</f>
        <v>22</v>
      </c>
      <c r="D276" s="16" t="str">
        <f>IF(OR('📂 Raw Data'!D276="M",'📂 Raw Data'!D276="m"),"Male",IF(OR('📂 Raw Data'!D276="F",'📂 Raw Data'!D276="f"),"Female",PROPER('📂 Raw Data'!D276)))</f>
        <v>Female</v>
      </c>
      <c r="E276" s="17" t="str">
        <f>UPPER(TRIM('📂 Raw Data'!E276))</f>
        <v>MARKETING</v>
      </c>
      <c r="F276" s="16" t="str">
        <f>PROPER(TRIM('📂 Raw Data'!F276))</f>
        <v>Content Writer</v>
      </c>
      <c r="G276" s="16" t="str">
        <f>IFERROR(IF(ISNUMBER('📂 Raw Data'!G276),TEXT('📂 Raw Data'!G276,"DD-MMM-YYYY"),TEXT(DATEVALUE('📂 Raw Data'!G276),"DD-MMM-YYYY")),"Invalid Date")</f>
        <v>13-Dec-2017</v>
      </c>
      <c r="H276" s="16" t="str">
        <f>PROPER(TRIM('📂 Raw Data'!H276))</f>
        <v>Hyderabad</v>
      </c>
      <c r="I276" s="18">
        <f>IFERROR(IF(ISNUMBER('📂 Raw Data'!I276),ABS('📂 Raw Data'!I276),0),0)</f>
        <v>96529</v>
      </c>
      <c r="J276" s="18">
        <f>IFERROR(ABS('📂 Raw Data'!J276),0)</f>
        <v>34653</v>
      </c>
      <c r="K276" s="18">
        <f>IFERROR(ABS('📂 Raw Data'!K276),0)</f>
        <v>12388</v>
      </c>
      <c r="L276" s="18">
        <f>IFERROR(ABS('📂 Raw Data'!L276),0)</f>
        <v>1180</v>
      </c>
      <c r="M276" s="18">
        <f>IFERROR(ABS('📂 Raw Data'!M276),0)</f>
        <v>3441</v>
      </c>
      <c r="N276" s="18">
        <f t="shared" si="4"/>
        <v>148191</v>
      </c>
      <c r="O276" s="16">
        <f>IFERROR(ABS('📂 Raw Data'!O276),0)</f>
        <v>25</v>
      </c>
      <c r="P276" s="20">
        <f>IFERROR(ABS('📂 Raw Data'!P145),0)</f>
        <v>96</v>
      </c>
      <c r="Q276" s="19" t="str">
        <f>'📂 Raw Data'!Q276</f>
        <v>Excellent</v>
      </c>
      <c r="R276" s="55" t="str">
        <f>'📂 Raw Data'!R276</f>
        <v>Resigned</v>
      </c>
    </row>
    <row r="277" spans="1:18" ht="18" customHeight="1">
      <c r="A277" s="54" t="str">
        <f>'📂 Raw Data'!A277</f>
        <v>EMP1275</v>
      </c>
      <c r="B277" s="16" t="str">
        <f>PROPER(TRIM('📂 Raw Data'!B277))</f>
        <v>Inder Mathur</v>
      </c>
      <c r="C277" s="16">
        <f>'📂 Raw Data'!C277</f>
        <v>54</v>
      </c>
      <c r="D277" s="16" t="str">
        <f>IF(OR('📂 Raw Data'!D277="M",'📂 Raw Data'!D277="m"),"Male",IF(OR('📂 Raw Data'!D277="F",'📂 Raw Data'!D277="f"),"Female",PROPER('📂 Raw Data'!D277)))</f>
        <v>Female</v>
      </c>
      <c r="E277" s="17" t="str">
        <f>UPPER(TRIM('📂 Raw Data'!E277))</f>
        <v>ENGINEERING</v>
      </c>
      <c r="F277" s="16" t="str">
        <f>PROPER(TRIM('📂 Raw Data'!F277))</f>
        <v>Qa Engineer</v>
      </c>
      <c r="G277" s="16" t="str">
        <f>IFERROR(IF(ISNUMBER('📂 Raw Data'!G277),TEXT('📂 Raw Data'!G277,"DD-MMM-YYYY"),TEXT(DATEVALUE('📂 Raw Data'!G277),"DD-MMM-YYYY")),"Invalid Date")</f>
        <v>03-Sep-2023</v>
      </c>
      <c r="H277" s="16" t="str">
        <f>PROPER(TRIM('📂 Raw Data'!H277))</f>
        <v>Delhi</v>
      </c>
      <c r="I277" s="18">
        <f>IFERROR(IF(ISNUMBER('📂 Raw Data'!I277),ABS('📂 Raw Data'!I277),0),0)</f>
        <v>64936</v>
      </c>
      <c r="J277" s="18">
        <f>IFERROR(ABS('📂 Raw Data'!J277),0)</f>
        <v>22209</v>
      </c>
      <c r="K277" s="18">
        <f>IFERROR(ABS('📂 Raw Data'!K277),0)</f>
        <v>14147</v>
      </c>
      <c r="L277" s="18">
        <f>IFERROR(ABS('📂 Raw Data'!L277),0)</f>
        <v>7401</v>
      </c>
      <c r="M277" s="18">
        <f>IFERROR(ABS('📂 Raw Data'!M277),0)</f>
        <v>6946</v>
      </c>
      <c r="N277" s="18">
        <f t="shared" si="4"/>
        <v>115639</v>
      </c>
      <c r="O277" s="16">
        <f>IFERROR(ABS('📂 Raw Data'!O277),0)</f>
        <v>20</v>
      </c>
      <c r="P277" s="20">
        <f>IFERROR(ABS('📂 Raw Data'!P146),0)</f>
        <v>94</v>
      </c>
      <c r="Q277" s="19" t="str">
        <f>'📂 Raw Data'!Q277</f>
        <v>Poor</v>
      </c>
      <c r="R277" s="55" t="str">
        <f>'📂 Raw Data'!R277</f>
        <v>Active</v>
      </c>
    </row>
    <row r="278" spans="1:18" ht="18" customHeight="1">
      <c r="A278" s="54" t="str">
        <f>'📂 Raw Data'!A278</f>
        <v>EMP1276</v>
      </c>
      <c r="B278" s="16" t="str">
        <f>PROPER(TRIM('📂 Raw Data'!B278))</f>
        <v>Anjali Chopra</v>
      </c>
      <c r="C278" s="16">
        <f>'📂 Raw Data'!C278</f>
        <v>40</v>
      </c>
      <c r="D278" s="16" t="str">
        <f>IF(OR('📂 Raw Data'!D278="M",'📂 Raw Data'!D278="m"),"Male",IF(OR('📂 Raw Data'!D278="F",'📂 Raw Data'!D278="f"),"Female",PROPER('📂 Raw Data'!D278)))</f>
        <v>Male</v>
      </c>
      <c r="E278" s="17" t="str">
        <f>UPPER(TRIM('📂 Raw Data'!E278))</f>
        <v>HR</v>
      </c>
      <c r="F278" s="16" t="str">
        <f>PROPER(TRIM('📂 Raw Data'!F278))</f>
        <v>Hr Manager</v>
      </c>
      <c r="G278" s="16" t="str">
        <f>IFERROR(IF(ISNUMBER('📂 Raw Data'!G278),TEXT('📂 Raw Data'!G278,"DD-MMM-YYYY"),TEXT(DATEVALUE('📂 Raw Data'!G278),"DD-MMM-YYYY")),"Invalid Date")</f>
        <v>22-Mar-2016</v>
      </c>
      <c r="H278" s="16" t="str">
        <f>PROPER(TRIM('📂 Raw Data'!H278))</f>
        <v>Pune</v>
      </c>
      <c r="I278" s="18">
        <f>IFERROR(IF(ISNUMBER('📂 Raw Data'!I278),ABS('📂 Raw Data'!I278),0),0)</f>
        <v>0</v>
      </c>
      <c r="J278" s="18">
        <f>IFERROR(ABS('📂 Raw Data'!J278),0)</f>
        <v>46742</v>
      </c>
      <c r="K278" s="18">
        <f>IFERROR(ABS('📂 Raw Data'!K278),0)</f>
        <v>14305</v>
      </c>
      <c r="L278" s="18">
        <f>IFERROR(ABS('📂 Raw Data'!L278),0)</f>
        <v>7637</v>
      </c>
      <c r="M278" s="18">
        <f>IFERROR(ABS('📂 Raw Data'!M278),0)</f>
        <v>5496</v>
      </c>
      <c r="N278" s="18">
        <f t="shared" si="4"/>
        <v>74180</v>
      </c>
      <c r="O278" s="16">
        <f>IFERROR(ABS('📂 Raw Data'!O278),0)</f>
        <v>22</v>
      </c>
      <c r="P278" s="20">
        <f>IFERROR(ABS('📂 Raw Data'!P147),0)</f>
        <v>45</v>
      </c>
      <c r="Q278" s="19" t="str">
        <f>'📂 Raw Data'!Q278</f>
        <v>Good</v>
      </c>
      <c r="R278" s="55" t="str">
        <f>'📂 Raw Data'!R278</f>
        <v>Active</v>
      </c>
    </row>
    <row r="279" spans="1:18" ht="18" customHeight="1">
      <c r="A279" s="54" t="str">
        <f>'📂 Raw Data'!A279</f>
        <v>EMP1277</v>
      </c>
      <c r="B279" s="16" t="str">
        <f>PROPER(TRIM('📂 Raw Data'!B279))</f>
        <v>Harsh Gupta</v>
      </c>
      <c r="C279" s="16">
        <f>'📂 Raw Data'!C279</f>
        <v>42</v>
      </c>
      <c r="D279" s="16" t="str">
        <f>IF(OR('📂 Raw Data'!D279="M",'📂 Raw Data'!D279="m"),"Male",IF(OR('📂 Raw Data'!D279="F",'📂 Raw Data'!D279="f"),"Female",PROPER('📂 Raw Data'!D279)))</f>
        <v>Male</v>
      </c>
      <c r="E279" s="17" t="str">
        <f>UPPER(TRIM('📂 Raw Data'!E279))</f>
        <v>OPERATIONS</v>
      </c>
      <c r="F279" s="16" t="str">
        <f>PROPER(TRIM('📂 Raw Data'!F279))</f>
        <v>Coordinator</v>
      </c>
      <c r="G279" s="16" t="str">
        <f>IFERROR(IF(ISNUMBER('📂 Raw Data'!G279),TEXT('📂 Raw Data'!G279,"DD-MMM-YYYY"),TEXT(DATEVALUE('📂 Raw Data'!G279),"DD-MMM-YYYY")),"Invalid Date")</f>
        <v>05-Jun-2020</v>
      </c>
      <c r="H279" s="16" t="str">
        <f>PROPER(TRIM('📂 Raw Data'!H279))</f>
        <v>Chennai</v>
      </c>
      <c r="I279" s="18">
        <f>IFERROR(IF(ISNUMBER('📂 Raw Data'!I279),ABS('📂 Raw Data'!I279),0),0)</f>
        <v>112988</v>
      </c>
      <c r="J279" s="18">
        <f>IFERROR(ABS('📂 Raw Data'!J279),0)</f>
        <v>48709</v>
      </c>
      <c r="K279" s="18">
        <f>IFERROR(ABS('📂 Raw Data'!K279),0)</f>
        <v>3639</v>
      </c>
      <c r="L279" s="18">
        <f>IFERROR(ABS('📂 Raw Data'!L279),0)</f>
        <v>2335</v>
      </c>
      <c r="M279" s="18">
        <f>IFERROR(ABS('📂 Raw Data'!M279),0)</f>
        <v>6075</v>
      </c>
      <c r="N279" s="18">
        <f t="shared" si="4"/>
        <v>173746</v>
      </c>
      <c r="O279" s="16">
        <f>IFERROR(ABS('📂 Raw Data'!O279),0)</f>
        <v>16</v>
      </c>
      <c r="P279" s="20">
        <f>IFERROR(ABS('📂 Raw Data'!P148),0)</f>
        <v>95</v>
      </c>
      <c r="Q279" s="19" t="str">
        <f>'📂 Raw Data'!Q279</f>
        <v>Average</v>
      </c>
      <c r="R279" s="55" t="str">
        <f>'📂 Raw Data'!R279</f>
        <v>Active</v>
      </c>
    </row>
    <row r="280" spans="1:18" ht="18" customHeight="1">
      <c r="A280" s="54" t="str">
        <f>'📂 Raw Data'!A280</f>
        <v>EMP1278</v>
      </c>
      <c r="B280" s="16" t="str">
        <f>PROPER(TRIM('📂 Raw Data'!B280))</f>
        <v>Karan Iyer</v>
      </c>
      <c r="C280" s="16">
        <f>'📂 Raw Data'!C280</f>
        <v>39</v>
      </c>
      <c r="D280" s="16" t="str">
        <f>IF(OR('📂 Raw Data'!D280="M",'📂 Raw Data'!D280="m"),"Male",IF(OR('📂 Raw Data'!D280="F",'📂 Raw Data'!D280="f"),"Female",PROPER('📂 Raw Data'!D280)))</f>
        <v>Female</v>
      </c>
      <c r="E280" s="17" t="str">
        <f>UPPER(TRIM('📂 Raw Data'!E280))</f>
        <v>OPERATIONS</v>
      </c>
      <c r="F280" s="16" t="str">
        <f>PROPER(TRIM('📂 Raw Data'!F280))</f>
        <v>Logistics Manager</v>
      </c>
      <c r="G280" s="16" t="str">
        <f>IFERROR(IF(ISNUMBER('📂 Raw Data'!G280),TEXT('📂 Raw Data'!G280,"DD-MMM-YYYY"),TEXT(DATEVALUE('📂 Raw Data'!G280),"DD-MMM-YYYY")),"Invalid Date")</f>
        <v>14-Jun-2020</v>
      </c>
      <c r="H280" s="16" t="str">
        <f>PROPER(TRIM('📂 Raw Data'!H280))</f>
        <v>Kolkata</v>
      </c>
      <c r="I280" s="18">
        <f>IFERROR(IF(ISNUMBER('📂 Raw Data'!I280),ABS('📂 Raw Data'!I280),0),0)</f>
        <v>47103</v>
      </c>
      <c r="J280" s="18">
        <f>IFERROR(ABS('📂 Raw Data'!J280),0)</f>
        <v>14176</v>
      </c>
      <c r="K280" s="18">
        <f>IFERROR(ABS('📂 Raw Data'!K280),0)</f>
        <v>6033</v>
      </c>
      <c r="L280" s="18">
        <f>IFERROR(ABS('📂 Raw Data'!L280),0)</f>
        <v>6436</v>
      </c>
      <c r="M280" s="18">
        <f>IFERROR(ABS('📂 Raw Data'!M280),0)</f>
        <v>2814</v>
      </c>
      <c r="N280" s="18">
        <f t="shared" si="4"/>
        <v>76562</v>
      </c>
      <c r="O280" s="16">
        <f>IFERROR(ABS('📂 Raw Data'!O280),0)</f>
        <v>26</v>
      </c>
      <c r="P280" s="20">
        <f>IFERROR(ABS('📂 Raw Data'!P149),0)</f>
        <v>64</v>
      </c>
      <c r="Q280" s="19" t="str">
        <f>'📂 Raw Data'!Q280</f>
        <v>Average</v>
      </c>
      <c r="R280" s="55" t="str">
        <f>'📂 Raw Data'!R280</f>
        <v>Active</v>
      </c>
    </row>
    <row r="281" spans="1:18" ht="18" customHeight="1">
      <c r="A281" s="54" t="str">
        <f>'📂 Raw Data'!A281</f>
        <v>EMP1279</v>
      </c>
      <c r="B281" s="16" t="str">
        <f>PROPER(TRIM('📂 Raw Data'!B281))</f>
        <v>Anjali Kumar</v>
      </c>
      <c r="C281" s="16">
        <f>'📂 Raw Data'!C281</f>
        <v>30</v>
      </c>
      <c r="D281" s="16" t="str">
        <f>IF(OR('📂 Raw Data'!D281="M",'📂 Raw Data'!D281="m"),"Male",IF(OR('📂 Raw Data'!D281="F",'📂 Raw Data'!D281="f"),"Female",PROPER('📂 Raw Data'!D281)))</f>
        <v>Female</v>
      </c>
      <c r="E281" s="17" t="str">
        <f>UPPER(TRIM('📂 Raw Data'!E281))</f>
        <v>FINANCE</v>
      </c>
      <c r="F281" s="16" t="str">
        <f>PROPER(TRIM('📂 Raw Data'!F281))</f>
        <v>Auditor</v>
      </c>
      <c r="G281" s="16" t="str">
        <f>IFERROR(IF(ISNUMBER('📂 Raw Data'!G281),TEXT('📂 Raw Data'!G281,"DD-MMM-YYYY"),TEXT(DATEVALUE('📂 Raw Data'!G281),"DD-MMM-YYYY")),"Invalid Date")</f>
        <v>25-Jun-2022</v>
      </c>
      <c r="H281" s="16" t="str">
        <f>PROPER(TRIM('📂 Raw Data'!H281))</f>
        <v>Hyderabad</v>
      </c>
      <c r="I281" s="18">
        <f>IFERROR(IF(ISNUMBER('📂 Raw Data'!I281),ABS('📂 Raw Data'!I281),0),0)</f>
        <v>65038</v>
      </c>
      <c r="J281" s="18">
        <f>IFERROR(ABS('📂 Raw Data'!J281),0)</f>
        <v>25846</v>
      </c>
      <c r="K281" s="18">
        <f>IFERROR(ABS('📂 Raw Data'!K281),0)</f>
        <v>3783</v>
      </c>
      <c r="L281" s="18">
        <f>IFERROR(ABS('📂 Raw Data'!L281),0)</f>
        <v>1439</v>
      </c>
      <c r="M281" s="18">
        <f>IFERROR(ABS('📂 Raw Data'!M281),0)</f>
        <v>6288</v>
      </c>
      <c r="N281" s="18">
        <f t="shared" si="4"/>
        <v>102394</v>
      </c>
      <c r="O281" s="16">
        <f>IFERROR(ABS('📂 Raw Data'!O281),0)</f>
        <v>24</v>
      </c>
      <c r="P281" s="20">
        <f>IFERROR(ABS('📂 Raw Data'!P150),0)</f>
        <v>49</v>
      </c>
      <c r="Q281" s="19" t="str">
        <f>'📂 Raw Data'!Q281</f>
        <v>Excellent</v>
      </c>
      <c r="R281" s="55" t="str">
        <f>'📂 Raw Data'!R281</f>
        <v>Active</v>
      </c>
    </row>
    <row r="282" spans="1:18" ht="18" customHeight="1">
      <c r="A282" s="54" t="str">
        <f>'📂 Raw Data'!A282</f>
        <v>EMP1280</v>
      </c>
      <c r="B282" s="16" t="str">
        <f>PROPER(TRIM('📂 Raw Data'!B282))</f>
        <v>Gaurav Mehta</v>
      </c>
      <c r="C282" s="16">
        <f>'📂 Raw Data'!C282</f>
        <v>38</v>
      </c>
      <c r="D282" s="16" t="str">
        <f>IF(OR('📂 Raw Data'!D282="M",'📂 Raw Data'!D282="m"),"Male",IF(OR('📂 Raw Data'!D282="F",'📂 Raw Data'!D282="f"),"Female",PROPER('📂 Raw Data'!D282)))</f>
        <v>Male</v>
      </c>
      <c r="E282" s="17" t="str">
        <f>UPPER(TRIM('📂 Raw Data'!E282))</f>
        <v>OPERATIONS</v>
      </c>
      <c r="F282" s="16" t="str">
        <f>PROPER(TRIM('📂 Raw Data'!F282))</f>
        <v>Operations Executive</v>
      </c>
      <c r="G282" s="16" t="str">
        <f>IFERROR(IF(ISNUMBER('📂 Raw Data'!G282),TEXT('📂 Raw Data'!G282,"DD-MMM-YYYY"),TEXT(DATEVALUE('📂 Raw Data'!G282),"DD-MMM-YYYY")),"Invalid Date")</f>
        <v>21-Sep-2015</v>
      </c>
      <c r="H282" s="16" t="str">
        <f>PROPER(TRIM('📂 Raw Data'!H282))</f>
        <v>Hyderabad</v>
      </c>
      <c r="I282" s="18">
        <f>IFERROR(IF(ISNUMBER('📂 Raw Data'!I282),ABS('📂 Raw Data'!I282),0),0)</f>
        <v>29088</v>
      </c>
      <c r="J282" s="18">
        <f>IFERROR(ABS('📂 Raw Data'!J282),0)</f>
        <v>13454</v>
      </c>
      <c r="K282" s="18">
        <f>IFERROR(ABS('📂 Raw Data'!K282),0)</f>
        <v>11484</v>
      </c>
      <c r="L282" s="18">
        <f>IFERROR(ABS('📂 Raw Data'!L282),0)</f>
        <v>3318</v>
      </c>
      <c r="M282" s="18">
        <f>IFERROR(ABS('📂 Raw Data'!M282),0)</f>
        <v>7301</v>
      </c>
      <c r="N282" s="18">
        <f t="shared" si="4"/>
        <v>64645</v>
      </c>
      <c r="O282" s="16">
        <f>IFERROR(ABS('📂 Raw Data'!O282),0)</f>
        <v>24</v>
      </c>
      <c r="P282" s="20">
        <f>IFERROR(ABS('📂 Raw Data'!P151),0)</f>
        <v>100</v>
      </c>
      <c r="Q282" s="19" t="str">
        <f>'📂 Raw Data'!Q282</f>
        <v>Good</v>
      </c>
      <c r="R282" s="55" t="str">
        <f>'📂 Raw Data'!R282</f>
        <v>Resigned</v>
      </c>
    </row>
    <row r="283" spans="1:18" ht="18" customHeight="1">
      <c r="A283" s="54" t="str">
        <f>'📂 Raw Data'!A283</f>
        <v>EMP1281</v>
      </c>
      <c r="B283" s="16" t="str">
        <f>PROPER(TRIM('📂 Raw Data'!B283))</f>
        <v>Bhavna Singh</v>
      </c>
      <c r="C283" s="16">
        <f>'📂 Raw Data'!C283</f>
        <v>37</v>
      </c>
      <c r="D283" s="16" t="str">
        <f>IF(OR('📂 Raw Data'!D283="M",'📂 Raw Data'!D283="m"),"Male",IF(OR('📂 Raw Data'!D283="F",'📂 Raw Data'!D283="f"),"Female",PROPER('📂 Raw Data'!D283)))</f>
        <v>Male</v>
      </c>
      <c r="E283" s="17" t="str">
        <f>UPPER(TRIM('📂 Raw Data'!E283))</f>
        <v>HR</v>
      </c>
      <c r="F283" s="16" t="str">
        <f>PROPER(TRIM('📂 Raw Data'!F283))</f>
        <v>Training Coordinator</v>
      </c>
      <c r="G283" s="16" t="str">
        <f>IFERROR(IF(ISNUMBER('📂 Raw Data'!G283),TEXT('📂 Raw Data'!G283,"DD-MMM-YYYY"),TEXT(DATEVALUE('📂 Raw Data'!G283),"DD-MMM-YYYY")),"Invalid Date")</f>
        <v>10-Jan-2018</v>
      </c>
      <c r="H283" s="16" t="str">
        <f>PROPER(TRIM('📂 Raw Data'!H283))</f>
        <v>Kolkata</v>
      </c>
      <c r="I283" s="18">
        <f>IFERROR(IF(ISNUMBER('📂 Raw Data'!I283),ABS('📂 Raw Data'!I283),0),0)</f>
        <v>63141</v>
      </c>
      <c r="J283" s="18">
        <f>IFERROR(ABS('📂 Raw Data'!J283),0)</f>
        <v>20633</v>
      </c>
      <c r="K283" s="18">
        <f>IFERROR(ABS('📂 Raw Data'!K283),0)</f>
        <v>10210</v>
      </c>
      <c r="L283" s="18">
        <f>IFERROR(ABS('📂 Raw Data'!L283),0)</f>
        <v>4181</v>
      </c>
      <c r="M283" s="18">
        <f>IFERROR(ABS('📂 Raw Data'!M283),0)</f>
        <v>1741</v>
      </c>
      <c r="N283" s="18">
        <f t="shared" si="4"/>
        <v>99906</v>
      </c>
      <c r="O283" s="16">
        <f>IFERROR(ABS('📂 Raw Data'!O283),0)</f>
        <v>21</v>
      </c>
      <c r="P283" s="20">
        <f>IFERROR(ABS('📂 Raw Data'!P152),0)</f>
        <v>43</v>
      </c>
      <c r="Q283" s="19" t="str">
        <f>'📂 Raw Data'!Q283</f>
        <v>Poor</v>
      </c>
      <c r="R283" s="55" t="str">
        <f>'📂 Raw Data'!R283</f>
        <v>Resigned</v>
      </c>
    </row>
    <row r="284" spans="1:18" ht="18" customHeight="1">
      <c r="A284" s="54" t="str">
        <f>'📂 Raw Data'!A284</f>
        <v>EMP1282</v>
      </c>
      <c r="B284" s="16" t="str">
        <f>PROPER(TRIM('📂 Raw Data'!B284))</f>
        <v>Divya Verma</v>
      </c>
      <c r="C284" s="16">
        <f>'📂 Raw Data'!C284</f>
        <v>24</v>
      </c>
      <c r="D284" s="16" t="str">
        <f>IF(OR('📂 Raw Data'!D284="M",'📂 Raw Data'!D284="m"),"Male",IF(OR('📂 Raw Data'!D284="F",'📂 Raw Data'!D284="f"),"Female",PROPER('📂 Raw Data'!D284)))</f>
        <v>Female</v>
      </c>
      <c r="E284" s="17" t="str">
        <f>UPPER(TRIM('📂 Raw Data'!E284))</f>
        <v>SALES</v>
      </c>
      <c r="F284" s="16" t="str">
        <f>PROPER(TRIM('📂 Raw Data'!F284))</f>
        <v>Business Dev</v>
      </c>
      <c r="G284" s="16" t="str">
        <f>IFERROR(IF(ISNUMBER('📂 Raw Data'!G284),TEXT('📂 Raw Data'!G284,"DD-MMM-YYYY"),TEXT(DATEVALUE('📂 Raw Data'!G284),"DD-MMM-YYYY")),"Invalid Date")</f>
        <v>19-Mar-2017</v>
      </c>
      <c r="H284" s="16" t="str">
        <f>PROPER(TRIM('📂 Raw Data'!H284))</f>
        <v>Delhi</v>
      </c>
      <c r="I284" s="18">
        <f>IFERROR(IF(ISNUMBER('📂 Raw Data'!I284),ABS('📂 Raw Data'!I284),0),0)</f>
        <v>99162</v>
      </c>
      <c r="J284" s="18">
        <f>IFERROR(ABS('📂 Raw Data'!J284),0)</f>
        <v>42826</v>
      </c>
      <c r="K284" s="18">
        <f>IFERROR(ABS('📂 Raw Data'!K284),0)</f>
        <v>4395</v>
      </c>
      <c r="L284" s="18">
        <f>IFERROR(ABS('📂 Raw Data'!L284),0)</f>
        <v>6028</v>
      </c>
      <c r="M284" s="18">
        <f>IFERROR(ABS('📂 Raw Data'!M284),0)</f>
        <v>6996</v>
      </c>
      <c r="N284" s="18">
        <f t="shared" si="4"/>
        <v>159407</v>
      </c>
      <c r="O284" s="16">
        <f>IFERROR(ABS('📂 Raw Data'!O284),0)</f>
        <v>22</v>
      </c>
      <c r="P284" s="20">
        <f>IFERROR(ABS('📂 Raw Data'!P153),0)</f>
        <v>79</v>
      </c>
      <c r="Q284" s="19" t="str">
        <f>'📂 Raw Data'!Q284</f>
        <v>Average</v>
      </c>
      <c r="R284" s="55" t="str">
        <f>'📂 Raw Data'!R284</f>
        <v>Active</v>
      </c>
    </row>
    <row r="285" spans="1:18" ht="18" customHeight="1">
      <c r="A285" s="54" t="str">
        <f>'📂 Raw Data'!A285</f>
        <v>EMP1283</v>
      </c>
      <c r="B285" s="16" t="str">
        <f>PROPER(TRIM('📂 Raw Data'!B285))</f>
        <v>Akash Patel</v>
      </c>
      <c r="C285" s="16">
        <f>'📂 Raw Data'!C285</f>
        <v>24</v>
      </c>
      <c r="D285" s="16" t="str">
        <f>IF(OR('📂 Raw Data'!D285="M",'📂 Raw Data'!D285="m"),"Male",IF(OR('📂 Raw Data'!D285="F",'📂 Raw Data'!D285="f"),"Female",PROPER('📂 Raw Data'!D285)))</f>
        <v>Male</v>
      </c>
      <c r="E285" s="17" t="str">
        <f>UPPER(TRIM('📂 Raw Data'!E285))</f>
        <v>HR</v>
      </c>
      <c r="F285" s="16" t="str">
        <f>PROPER(TRIM('📂 Raw Data'!F285))</f>
        <v>Hr Manager</v>
      </c>
      <c r="G285" s="16" t="str">
        <f>IFERROR(IF(ISNUMBER('📂 Raw Data'!G285),TEXT('📂 Raw Data'!G285,"DD-MMM-YYYY"),TEXT(DATEVALUE('📂 Raw Data'!G285),"DD-MMM-YYYY")),"Invalid Date")</f>
        <v>07-Nov-2015</v>
      </c>
      <c r="H285" s="16" t="str">
        <f>PROPER(TRIM('📂 Raw Data'!H285))</f>
        <v>Pune</v>
      </c>
      <c r="I285" s="18">
        <f>IFERROR(IF(ISNUMBER('📂 Raw Data'!I285),ABS('📂 Raw Data'!I285),0),0)</f>
        <v>92880</v>
      </c>
      <c r="J285" s="18">
        <f>IFERROR(ABS('📂 Raw Data'!J285),0)</f>
        <v>44726</v>
      </c>
      <c r="K285" s="18">
        <f>IFERROR(ABS('📂 Raw Data'!K285),0)</f>
        <v>7918</v>
      </c>
      <c r="L285" s="18">
        <f>IFERROR(ABS('📂 Raw Data'!L285),0)</f>
        <v>3179</v>
      </c>
      <c r="M285" s="18">
        <f>IFERROR(ABS('📂 Raw Data'!M285),0)</f>
        <v>4847</v>
      </c>
      <c r="N285" s="18">
        <f t="shared" si="4"/>
        <v>153550</v>
      </c>
      <c r="O285" s="16">
        <f>IFERROR(ABS('📂 Raw Data'!O285),0)</f>
        <v>22</v>
      </c>
      <c r="P285" s="20">
        <f>IFERROR(ABS('📂 Raw Data'!P154),0)</f>
        <v>83</v>
      </c>
      <c r="Q285" s="19" t="str">
        <f>'📂 Raw Data'!Q285</f>
        <v>Poor</v>
      </c>
      <c r="R285" s="55" t="str">
        <f>'📂 Raw Data'!R285</f>
        <v>Active</v>
      </c>
    </row>
    <row r="286" spans="1:18" ht="18" customHeight="1">
      <c r="A286" s="54" t="str">
        <f>'📂 Raw Data'!A286</f>
        <v>EMP1284</v>
      </c>
      <c r="B286" s="16" t="str">
        <f>PROPER(TRIM('📂 Raw Data'!B286))</f>
        <v>Divya Naik</v>
      </c>
      <c r="C286" s="16">
        <f>'📂 Raw Data'!C286</f>
        <v>55</v>
      </c>
      <c r="D286" s="16" t="str">
        <f>IF(OR('📂 Raw Data'!D286="M",'📂 Raw Data'!D286="m"),"Male",IF(OR('📂 Raw Data'!D286="F",'📂 Raw Data'!D286="f"),"Female",PROPER('📂 Raw Data'!D286)))</f>
        <v>Male</v>
      </c>
      <c r="E286" s="17" t="str">
        <f>UPPER(TRIM('📂 Raw Data'!E286))</f>
        <v>OPERATIONS</v>
      </c>
      <c r="F286" s="16" t="str">
        <f>PROPER(TRIM('📂 Raw Data'!F286))</f>
        <v>Admin Officer</v>
      </c>
      <c r="G286" s="16" t="str">
        <f>IFERROR(IF(ISNUMBER('📂 Raw Data'!G286),TEXT('📂 Raw Data'!G286,"DD-MMM-YYYY"),TEXT(DATEVALUE('📂 Raw Data'!G286),"DD-MMM-YYYY")),"Invalid Date")</f>
        <v>18-Oct-2019</v>
      </c>
      <c r="H286" s="16" t="str">
        <f>PROPER(TRIM('📂 Raw Data'!H286))</f>
        <v>Bangalore</v>
      </c>
      <c r="I286" s="18">
        <f>IFERROR(IF(ISNUMBER('📂 Raw Data'!I286),ABS('📂 Raw Data'!I286),0),0)</f>
        <v>99732</v>
      </c>
      <c r="J286" s="18">
        <f>IFERROR(ABS('📂 Raw Data'!J286),0)</f>
        <v>33387</v>
      </c>
      <c r="K286" s="18">
        <f>IFERROR(ABS('📂 Raw Data'!K286),0)</f>
        <v>12709</v>
      </c>
      <c r="L286" s="18">
        <f>IFERROR(ABS('📂 Raw Data'!L286),0)</f>
        <v>3100</v>
      </c>
      <c r="M286" s="18">
        <f>IFERROR(ABS('📂 Raw Data'!M286),0)</f>
        <v>3992</v>
      </c>
      <c r="N286" s="18">
        <f t="shared" si="4"/>
        <v>152920</v>
      </c>
      <c r="O286" s="16">
        <f>IFERROR(ABS('📂 Raw Data'!O286),0)</f>
        <v>24</v>
      </c>
      <c r="P286" s="20">
        <f>IFERROR(ABS('📂 Raw Data'!P155),0)</f>
        <v>84</v>
      </c>
      <c r="Q286" s="19" t="str">
        <f>'📂 Raw Data'!Q286</f>
        <v>Below Average</v>
      </c>
      <c r="R286" s="55" t="str">
        <f>'📂 Raw Data'!R286</f>
        <v>Active</v>
      </c>
    </row>
    <row r="287" spans="1:18" ht="18" customHeight="1">
      <c r="A287" s="54" t="str">
        <f>'📂 Raw Data'!A287</f>
        <v>EMP1285</v>
      </c>
      <c r="B287" s="16" t="str">
        <f>PROPER(TRIM('📂 Raw Data'!B287))</f>
        <v>Geeta Doshi</v>
      </c>
      <c r="C287" s="16">
        <f>'📂 Raw Data'!C287</f>
        <v>35</v>
      </c>
      <c r="D287" s="16" t="str">
        <f>IF(OR('📂 Raw Data'!D287="M",'📂 Raw Data'!D287="m"),"Male",IF(OR('📂 Raw Data'!D287="F",'📂 Raw Data'!D287="f"),"Female",PROPER('📂 Raw Data'!D287)))</f>
        <v>Female</v>
      </c>
      <c r="E287" s="17" t="str">
        <f>UPPER(TRIM('📂 Raw Data'!E287))</f>
        <v>HR</v>
      </c>
      <c r="F287" s="16" t="str">
        <f>PROPER(TRIM('📂 Raw Data'!F287))</f>
        <v>Recruiter</v>
      </c>
      <c r="G287" s="16" t="str">
        <f>IFERROR(IF(ISNUMBER('📂 Raw Data'!G287),TEXT('📂 Raw Data'!G287,"DD-MMM-YYYY"),TEXT(DATEVALUE('📂 Raw Data'!G287),"DD-MMM-YYYY")),"Invalid Date")</f>
        <v>20-Aug-2022</v>
      </c>
      <c r="H287" s="16" t="str">
        <f>PROPER(TRIM('📂 Raw Data'!H287))</f>
        <v>Delhi</v>
      </c>
      <c r="I287" s="18">
        <f>IFERROR(IF(ISNUMBER('📂 Raw Data'!I287),ABS('📂 Raw Data'!I287),0),0)</f>
        <v>25864</v>
      </c>
      <c r="J287" s="18">
        <f>IFERROR(ABS('📂 Raw Data'!J287),0)</f>
        <v>10355</v>
      </c>
      <c r="K287" s="18">
        <f>IFERROR(ABS('📂 Raw Data'!K287),0)</f>
        <v>4276</v>
      </c>
      <c r="L287" s="18">
        <f>IFERROR(ABS('📂 Raw Data'!L287),0)</f>
        <v>3603</v>
      </c>
      <c r="M287" s="18">
        <f>IFERROR(ABS('📂 Raw Data'!M287),0)</f>
        <v>2356</v>
      </c>
      <c r="N287" s="18">
        <f t="shared" si="4"/>
        <v>46454</v>
      </c>
      <c r="O287" s="16">
        <f>IFERROR(ABS('📂 Raw Data'!O287),0)</f>
        <v>18</v>
      </c>
      <c r="P287" s="20">
        <f>IFERROR(ABS('📂 Raw Data'!P156),0)</f>
        <v>71</v>
      </c>
      <c r="Q287" s="19" t="str">
        <f>'📂 Raw Data'!Q287</f>
        <v>Poor</v>
      </c>
      <c r="R287" s="55" t="str">
        <f>'📂 Raw Data'!R287</f>
        <v>Active</v>
      </c>
    </row>
    <row r="288" spans="1:18" ht="18" customHeight="1">
      <c r="A288" s="54" t="str">
        <f>'📂 Raw Data'!A288</f>
        <v>EMP1286</v>
      </c>
      <c r="B288" s="16" t="str">
        <f>PROPER(TRIM('📂 Raw Data'!B288))</f>
        <v>Zeba Jain</v>
      </c>
      <c r="C288" s="16">
        <f>'📂 Raw Data'!C288</f>
        <v>48</v>
      </c>
      <c r="D288" s="16" t="str">
        <f>IF(OR('📂 Raw Data'!D288="M",'📂 Raw Data'!D288="m"),"Male",IF(OR('📂 Raw Data'!D288="F",'📂 Raw Data'!D288="f"),"Female",PROPER('📂 Raw Data'!D288)))</f>
        <v>Male</v>
      </c>
      <c r="E288" s="17" t="str">
        <f>UPPER(TRIM('📂 Raw Data'!E288))</f>
        <v>OPERATIONS</v>
      </c>
      <c r="F288" s="16" t="str">
        <f>PROPER(TRIM('📂 Raw Data'!F288))</f>
        <v>Operations Executive</v>
      </c>
      <c r="G288" s="16" t="str">
        <f>IFERROR(IF(ISNUMBER('📂 Raw Data'!G288),TEXT('📂 Raw Data'!G288,"DD-MMM-YYYY"),TEXT(DATEVALUE('📂 Raw Data'!G288),"DD-MMM-YYYY")),"Invalid Date")</f>
        <v>26-Jul-2018</v>
      </c>
      <c r="H288" s="16" t="str">
        <f>PROPER(TRIM('📂 Raw Data'!H288))</f>
        <v>Mumbai</v>
      </c>
      <c r="I288" s="18">
        <f>IFERROR(IF(ISNUMBER('📂 Raw Data'!I288),ABS('📂 Raw Data'!I288),0),0)</f>
        <v>68283</v>
      </c>
      <c r="J288" s="18">
        <f>IFERROR(ABS('📂 Raw Data'!J288),0)</f>
        <v>30321</v>
      </c>
      <c r="K288" s="18">
        <f>IFERROR(ABS('📂 Raw Data'!K288),0)</f>
        <v>9889</v>
      </c>
      <c r="L288" s="18">
        <f>IFERROR(ABS('📂 Raw Data'!L288),0)</f>
        <v>5531</v>
      </c>
      <c r="M288" s="18">
        <f>IFERROR(ABS('📂 Raw Data'!M288),0)</f>
        <v>4922</v>
      </c>
      <c r="N288" s="18">
        <f t="shared" si="4"/>
        <v>118946</v>
      </c>
      <c r="O288" s="16">
        <f>IFERROR(ABS('📂 Raw Data'!O288),0)</f>
        <v>22</v>
      </c>
      <c r="P288" s="20">
        <f>IFERROR(ABS('📂 Raw Data'!P157),0)</f>
        <v>51</v>
      </c>
      <c r="Q288" s="19" t="str">
        <f>'📂 Raw Data'!Q288</f>
        <v>Poor</v>
      </c>
      <c r="R288" s="55" t="str">
        <f>'📂 Raw Data'!R288</f>
        <v>Active</v>
      </c>
    </row>
    <row r="289" spans="1:18" ht="18" customHeight="1">
      <c r="A289" s="54" t="str">
        <f>'📂 Raw Data'!A289</f>
        <v>EMP1287</v>
      </c>
      <c r="B289" s="16" t="str">
        <f>PROPER(TRIM('📂 Raw Data'!B289))</f>
        <v>Yash Vashistha</v>
      </c>
      <c r="C289" s="16">
        <f>'📂 Raw Data'!C289</f>
        <v>55</v>
      </c>
      <c r="D289" s="16" t="str">
        <f>IF(OR('📂 Raw Data'!D289="M",'📂 Raw Data'!D289="m"),"Male",IF(OR('📂 Raw Data'!D289="F",'📂 Raw Data'!D289="f"),"Female",PROPER('📂 Raw Data'!D289)))</f>
        <v>Male</v>
      </c>
      <c r="E289" s="17" t="str">
        <f>UPPER(TRIM('📂 Raw Data'!E289))</f>
        <v>MARKETING</v>
      </c>
      <c r="F289" s="16" t="str">
        <f>PROPER(TRIM('📂 Raw Data'!F289))</f>
        <v>Content Writer</v>
      </c>
      <c r="G289" s="16" t="str">
        <f>IFERROR(IF(ISNUMBER('📂 Raw Data'!G289),TEXT('📂 Raw Data'!G289,"DD-MMM-YYYY"),TEXT(DATEVALUE('📂 Raw Data'!G289),"DD-MMM-YYYY")),"Invalid Date")</f>
        <v>17-Nov-2017</v>
      </c>
      <c r="H289" s="16" t="str">
        <f>PROPER(TRIM('📂 Raw Data'!H289))</f>
        <v>Chennai</v>
      </c>
      <c r="I289" s="18">
        <f>IFERROR(IF(ISNUMBER('📂 Raw Data'!I289),ABS('📂 Raw Data'!I289),0),0)</f>
        <v>30136</v>
      </c>
      <c r="J289" s="18">
        <f>IFERROR(ABS('📂 Raw Data'!J289),0)</f>
        <v>14410</v>
      </c>
      <c r="K289" s="18">
        <f>IFERROR(ABS('📂 Raw Data'!K289),0)</f>
        <v>4406</v>
      </c>
      <c r="L289" s="18">
        <f>IFERROR(ABS('📂 Raw Data'!L289),0)</f>
        <v>458</v>
      </c>
      <c r="M289" s="18">
        <f>IFERROR(ABS('📂 Raw Data'!M289),0)</f>
        <v>2362</v>
      </c>
      <c r="N289" s="18">
        <f t="shared" si="4"/>
        <v>51772</v>
      </c>
      <c r="O289" s="16">
        <f>IFERROR(ABS('📂 Raw Data'!O289),0)</f>
        <v>19</v>
      </c>
      <c r="P289" s="20">
        <f>IFERROR(ABS('📂 Raw Data'!P158),0)</f>
        <v>64</v>
      </c>
      <c r="Q289" s="19" t="str">
        <f>'📂 Raw Data'!Q289</f>
        <v>Excellent</v>
      </c>
      <c r="R289" s="55" t="str">
        <f>'📂 Raw Data'!R289</f>
        <v>Resigned</v>
      </c>
    </row>
    <row r="290" spans="1:18" ht="18" customHeight="1">
      <c r="A290" s="54" t="str">
        <f>'📂 Raw Data'!A290</f>
        <v>EMP1288</v>
      </c>
      <c r="B290" s="16" t="str">
        <f>PROPER(TRIM('📂 Raw Data'!B290))</f>
        <v>Arun Bahl</v>
      </c>
      <c r="C290" s="16">
        <f>'📂 Raw Data'!C290</f>
        <v>33</v>
      </c>
      <c r="D290" s="16" t="str">
        <f>IF(OR('📂 Raw Data'!D290="M",'📂 Raw Data'!D290="m"),"Male",IF(OR('📂 Raw Data'!D290="F",'📂 Raw Data'!D290="f"),"Female",PROPER('📂 Raw Data'!D290)))</f>
        <v>Male</v>
      </c>
      <c r="E290" s="17" t="str">
        <f>UPPER(TRIM('📂 Raw Data'!E290))</f>
        <v>OPERATIONS</v>
      </c>
      <c r="F290" s="16" t="str">
        <f>PROPER(TRIM('📂 Raw Data'!F290))</f>
        <v>Admin Officer</v>
      </c>
      <c r="G290" s="16" t="str">
        <f>IFERROR(IF(ISNUMBER('📂 Raw Data'!G290),TEXT('📂 Raw Data'!G290,"DD-MMM-YYYY"),TEXT(DATEVALUE('📂 Raw Data'!G290),"DD-MMM-YYYY")),"Invalid Date")</f>
        <v>15-Apr-2016</v>
      </c>
      <c r="H290" s="16" t="str">
        <f>PROPER(TRIM('📂 Raw Data'!H290))</f>
        <v>Hyderabad</v>
      </c>
      <c r="I290" s="18">
        <f>IFERROR(IF(ISNUMBER('📂 Raw Data'!I290),ABS('📂 Raw Data'!I290),0),0)</f>
        <v>104498</v>
      </c>
      <c r="J290" s="18">
        <f>IFERROR(ABS('📂 Raw Data'!J290),0)</f>
        <v>52098</v>
      </c>
      <c r="K290" s="18">
        <f>IFERROR(ABS('📂 Raw Data'!K290),0)</f>
        <v>9891</v>
      </c>
      <c r="L290" s="18">
        <f>IFERROR(ABS('📂 Raw Data'!L290),0)</f>
        <v>1397</v>
      </c>
      <c r="M290" s="18">
        <f>IFERROR(ABS('📂 Raw Data'!M290),0)</f>
        <v>2797</v>
      </c>
      <c r="N290" s="18">
        <f t="shared" si="4"/>
        <v>170681</v>
      </c>
      <c r="O290" s="16">
        <f>IFERROR(ABS('📂 Raw Data'!O290),0)</f>
        <v>21</v>
      </c>
      <c r="P290" s="20">
        <f>IFERROR(ABS('📂 Raw Data'!P159),0)</f>
        <v>41</v>
      </c>
      <c r="Q290" s="19" t="str">
        <f>'📂 Raw Data'!Q290</f>
        <v>Good</v>
      </c>
      <c r="R290" s="55" t="str">
        <f>'📂 Raw Data'!R290</f>
        <v>On Leave</v>
      </c>
    </row>
    <row r="291" spans="1:18" ht="18" customHeight="1">
      <c r="A291" s="54" t="str">
        <f>'📂 Raw Data'!A291</f>
        <v>EMP1289</v>
      </c>
      <c r="B291" s="16" t="str">
        <f>PROPER(TRIM('📂 Raw Data'!B291))</f>
        <v>Inder Tiwari</v>
      </c>
      <c r="C291" s="16">
        <f>'📂 Raw Data'!C291</f>
        <v>31</v>
      </c>
      <c r="D291" s="16" t="str">
        <f>IF(OR('📂 Raw Data'!D291="M",'📂 Raw Data'!D291="m"),"Male",IF(OR('📂 Raw Data'!D291="F",'📂 Raw Data'!D291="f"),"Female",PROPER('📂 Raw Data'!D291)))</f>
        <v>Female</v>
      </c>
      <c r="E291" s="17" t="str">
        <f>UPPER(TRIM('📂 Raw Data'!E291))</f>
        <v>OPERATIONS</v>
      </c>
      <c r="F291" s="16" t="str">
        <f>PROPER(TRIM('📂 Raw Data'!F291))</f>
        <v>Admin Officer</v>
      </c>
      <c r="G291" s="16" t="str">
        <f>IFERROR(IF(ISNUMBER('📂 Raw Data'!G291),TEXT('📂 Raw Data'!G291,"DD-MMM-YYYY"),TEXT(DATEVALUE('📂 Raw Data'!G291),"DD-MMM-YYYY")),"Invalid Date")</f>
        <v>19-Oct-2022</v>
      </c>
      <c r="H291" s="16" t="str">
        <f>PROPER(TRIM('📂 Raw Data'!H291))</f>
        <v>Hyderabad</v>
      </c>
      <c r="I291" s="18">
        <f>IFERROR(IF(ISNUMBER('📂 Raw Data'!I291),ABS('📂 Raw Data'!I291),0),0)</f>
        <v>34023</v>
      </c>
      <c r="J291" s="18">
        <f>IFERROR(ABS('📂 Raw Data'!J291),0)</f>
        <v>11771</v>
      </c>
      <c r="K291" s="18">
        <f>IFERROR(ABS('📂 Raw Data'!K291),0)</f>
        <v>8315</v>
      </c>
      <c r="L291" s="18">
        <f>IFERROR(ABS('📂 Raw Data'!L291),0)</f>
        <v>1083</v>
      </c>
      <c r="M291" s="18">
        <f>IFERROR(ABS('📂 Raw Data'!M291),0)</f>
        <v>1889</v>
      </c>
      <c r="N291" s="18">
        <f t="shared" si="4"/>
        <v>57081</v>
      </c>
      <c r="O291" s="16">
        <f>IFERROR(ABS('📂 Raw Data'!O291),0)</f>
        <v>15</v>
      </c>
      <c r="P291" s="20">
        <f>IFERROR(ABS('📂 Raw Data'!P160),0)</f>
        <v>57</v>
      </c>
      <c r="Q291" s="19" t="str">
        <f>'📂 Raw Data'!Q291</f>
        <v>Poor</v>
      </c>
      <c r="R291" s="55" t="str">
        <f>'📂 Raw Data'!R291</f>
        <v>Active</v>
      </c>
    </row>
    <row r="292" spans="1:18" ht="18" customHeight="1">
      <c r="A292" s="54" t="str">
        <f>'📂 Raw Data'!A292</f>
        <v>EMP1290</v>
      </c>
      <c r="B292" s="16" t="str">
        <f>PROPER(TRIM('📂 Raw Data'!B292))</f>
        <v>Tarun Malhotra</v>
      </c>
      <c r="C292" s="16">
        <f>'📂 Raw Data'!C292</f>
        <v>49</v>
      </c>
      <c r="D292" s="16" t="str">
        <f>IF(OR('📂 Raw Data'!D292="M",'📂 Raw Data'!D292="m"),"Male",IF(OR('📂 Raw Data'!D292="F",'📂 Raw Data'!D292="f"),"Female",PROPER('📂 Raw Data'!D292)))</f>
        <v>Male</v>
      </c>
      <c r="E292" s="17" t="str">
        <f>UPPER(TRIM('📂 Raw Data'!E292))</f>
        <v>MARKETING</v>
      </c>
      <c r="F292" s="16" t="str">
        <f>PROPER(TRIM('📂 Raw Data'!F292))</f>
        <v>Marketing Executive</v>
      </c>
      <c r="G292" s="16" t="str">
        <f>IFERROR(IF(ISNUMBER('📂 Raw Data'!G292),TEXT('📂 Raw Data'!G292,"DD-MMM-YYYY"),TEXT(DATEVALUE('📂 Raw Data'!G292),"DD-MMM-YYYY")),"Invalid Date")</f>
        <v>25-Sep-2023</v>
      </c>
      <c r="H292" s="16" t="str">
        <f>PROPER(TRIM('📂 Raw Data'!H292))</f>
        <v>Hyderabad</v>
      </c>
      <c r="I292" s="18">
        <f>IFERROR(IF(ISNUMBER('📂 Raw Data'!I292),ABS('📂 Raw Data'!I292),0),0)</f>
        <v>40403</v>
      </c>
      <c r="J292" s="18">
        <f>IFERROR(ABS('📂 Raw Data'!J292),0)</f>
        <v>12874</v>
      </c>
      <c r="K292" s="18">
        <f>IFERROR(ABS('📂 Raw Data'!K292),0)</f>
        <v>12803</v>
      </c>
      <c r="L292" s="18">
        <f>IFERROR(ABS('📂 Raw Data'!L292),0)</f>
        <v>1067</v>
      </c>
      <c r="M292" s="18">
        <f>IFERROR(ABS('📂 Raw Data'!M292),0)</f>
        <v>5943</v>
      </c>
      <c r="N292" s="18">
        <f t="shared" si="4"/>
        <v>73090</v>
      </c>
      <c r="O292" s="16">
        <f>IFERROR(ABS('📂 Raw Data'!O292),0)</f>
        <v>23</v>
      </c>
      <c r="P292" s="20">
        <f>IFERROR(ABS('📂 Raw Data'!P161),0)</f>
        <v>45</v>
      </c>
      <c r="Q292" s="19" t="str">
        <f>'📂 Raw Data'!Q292</f>
        <v>Poor</v>
      </c>
      <c r="R292" s="55" t="str">
        <f>'📂 Raw Data'!R292</f>
        <v>Active</v>
      </c>
    </row>
    <row r="293" spans="1:18" ht="18" customHeight="1">
      <c r="A293" s="54" t="str">
        <f>'📂 Raw Data'!A293</f>
        <v>EMP1291</v>
      </c>
      <c r="B293" s="16" t="str">
        <f>PROPER(TRIM('📂 Raw Data'!B293))</f>
        <v>Lokesh Mathur</v>
      </c>
      <c r="C293" s="16">
        <f>'📂 Raw Data'!C293</f>
        <v>30</v>
      </c>
      <c r="D293" s="16" t="str">
        <f>IF(OR('📂 Raw Data'!D293="M",'📂 Raw Data'!D293="m"),"Male",IF(OR('📂 Raw Data'!D293="F",'📂 Raw Data'!D293="f"),"Female",PROPER('📂 Raw Data'!D293)))</f>
        <v>Female</v>
      </c>
      <c r="E293" s="17" t="str">
        <f>UPPER(TRIM('📂 Raw Data'!E293))</f>
        <v>FINANCE</v>
      </c>
      <c r="F293" s="16" t="str">
        <f>PROPER(TRIM('📂 Raw Data'!F293))</f>
        <v>Senior Accountant</v>
      </c>
      <c r="G293" s="16" t="str">
        <f>IFERROR(IF(ISNUMBER('📂 Raw Data'!G293),TEXT('📂 Raw Data'!G293,"DD-MMM-YYYY"),TEXT(DATEVALUE('📂 Raw Data'!G293),"DD-MMM-YYYY")),"Invalid Date")</f>
        <v>12-Jul-2022</v>
      </c>
      <c r="H293" s="16" t="str">
        <f>PROPER(TRIM('📂 Raw Data'!H293))</f>
        <v>Bangalore</v>
      </c>
      <c r="I293" s="18">
        <f>IFERROR(IF(ISNUMBER('📂 Raw Data'!I293),ABS('📂 Raw Data'!I293),0),0)</f>
        <v>102207</v>
      </c>
      <c r="J293" s="18">
        <f>IFERROR(ABS('📂 Raw Data'!J293),0)</f>
        <v>47110</v>
      </c>
      <c r="K293" s="18">
        <f>IFERROR(ABS('📂 Raw Data'!K293),0)</f>
        <v>14477</v>
      </c>
      <c r="L293" s="18">
        <f>IFERROR(ABS('📂 Raw Data'!L293),0)</f>
        <v>6858</v>
      </c>
      <c r="M293" s="18">
        <f>IFERROR(ABS('📂 Raw Data'!M293),0)</f>
        <v>6707</v>
      </c>
      <c r="N293" s="18">
        <f t="shared" si="4"/>
        <v>177359</v>
      </c>
      <c r="O293" s="16">
        <f>IFERROR(ABS('📂 Raw Data'!O293),0)</f>
        <v>24</v>
      </c>
      <c r="P293" s="20">
        <f>IFERROR(ABS('📂 Raw Data'!P162),0)</f>
        <v>58</v>
      </c>
      <c r="Q293" s="19" t="str">
        <f>'📂 Raw Data'!Q293</f>
        <v>Excellent</v>
      </c>
      <c r="R293" s="55" t="str">
        <f>'📂 Raw Data'!R293</f>
        <v>Active</v>
      </c>
    </row>
    <row r="294" spans="1:18" ht="18" customHeight="1">
      <c r="A294" s="54" t="str">
        <f>'📂 Raw Data'!A294</f>
        <v>EMP1292</v>
      </c>
      <c r="B294" s="16" t="str">
        <f>PROPER(TRIM('📂 Raw Data'!B294))</f>
        <v>Jyoti Rastogi</v>
      </c>
      <c r="C294" s="16">
        <f>'📂 Raw Data'!C294</f>
        <v>46</v>
      </c>
      <c r="D294" s="16" t="str">
        <f>IF(OR('📂 Raw Data'!D294="M",'📂 Raw Data'!D294="m"),"Male",IF(OR('📂 Raw Data'!D294="F",'📂 Raw Data'!D294="f"),"Female",PROPER('📂 Raw Data'!D294)))</f>
        <v>Male</v>
      </c>
      <c r="E294" s="17" t="str">
        <f>UPPER(TRIM('📂 Raw Data'!E294))</f>
        <v>HR</v>
      </c>
      <c r="F294" s="16" t="str">
        <f>PROPER(TRIM('📂 Raw Data'!F294))</f>
        <v>Training Coordinator</v>
      </c>
      <c r="G294" s="16" t="str">
        <f>IFERROR(IF(ISNUMBER('📂 Raw Data'!G294),TEXT('📂 Raw Data'!G294,"DD-MMM-YYYY"),TEXT(DATEVALUE('📂 Raw Data'!G294),"DD-MMM-YYYY")),"Invalid Date")</f>
        <v>01-Apr-2019</v>
      </c>
      <c r="H294" s="16" t="str">
        <f>PROPER(TRIM('📂 Raw Data'!H294))</f>
        <v>Pune</v>
      </c>
      <c r="I294" s="18">
        <f>IFERROR(IF(ISNUMBER('📂 Raw Data'!I294),ABS('📂 Raw Data'!I294),0),0)</f>
        <v>117949</v>
      </c>
      <c r="J294" s="18">
        <f>IFERROR(ABS('📂 Raw Data'!J294),0)</f>
        <v>52927</v>
      </c>
      <c r="K294" s="18">
        <f>IFERROR(ABS('📂 Raw Data'!K294),0)</f>
        <v>2116</v>
      </c>
      <c r="L294" s="18">
        <f>IFERROR(ABS('📂 Raw Data'!L294),0)</f>
        <v>4734</v>
      </c>
      <c r="M294" s="18">
        <f>IFERROR(ABS('📂 Raw Data'!M294),0)</f>
        <v>5280</v>
      </c>
      <c r="N294" s="18">
        <f t="shared" si="4"/>
        <v>183006</v>
      </c>
      <c r="O294" s="16">
        <f>IFERROR(ABS('📂 Raw Data'!O294),0)</f>
        <v>16</v>
      </c>
      <c r="P294" s="20">
        <f>IFERROR(ABS('📂 Raw Data'!P163),0)</f>
        <v>67</v>
      </c>
      <c r="Q294" s="19" t="str">
        <f>'📂 Raw Data'!Q294</f>
        <v>Average</v>
      </c>
      <c r="R294" s="55" t="str">
        <f>'📂 Raw Data'!R294</f>
        <v>Active</v>
      </c>
    </row>
    <row r="295" spans="1:18" ht="18" customHeight="1">
      <c r="A295" s="54" t="str">
        <f>'📂 Raw Data'!A295</f>
        <v>EMP1293</v>
      </c>
      <c r="B295" s="16" t="str">
        <f>PROPER(TRIM('📂 Raw Data'!B295))</f>
        <v>Farhan Qadir</v>
      </c>
      <c r="C295" s="16">
        <f>'📂 Raw Data'!C295</f>
        <v>39</v>
      </c>
      <c r="D295" s="16" t="str">
        <f>IF(OR('📂 Raw Data'!D295="M",'📂 Raw Data'!D295="m"),"Male",IF(OR('📂 Raw Data'!D295="F",'📂 Raw Data'!D295="f"),"Female",PROPER('📂 Raw Data'!D295)))</f>
        <v>Female</v>
      </c>
      <c r="E295" s="17" t="str">
        <f>UPPER(TRIM('📂 Raw Data'!E295))</f>
        <v>FINANCE</v>
      </c>
      <c r="F295" s="16" t="str">
        <f>PROPER(TRIM('📂 Raw Data'!F295))</f>
        <v>Finance Manager</v>
      </c>
      <c r="G295" s="16" t="str">
        <f>IFERROR(IF(ISNUMBER('📂 Raw Data'!G295),TEXT('📂 Raw Data'!G295,"DD-MMM-YYYY"),TEXT(DATEVALUE('📂 Raw Data'!G295),"DD-MMM-YYYY")),"Invalid Date")</f>
        <v>14-Mar-2016</v>
      </c>
      <c r="H295" s="16" t="str">
        <f>PROPER(TRIM('📂 Raw Data'!H295))</f>
        <v>Pune</v>
      </c>
      <c r="I295" s="18">
        <f>IFERROR(IF(ISNUMBER('📂 Raw Data'!I295),ABS('📂 Raw Data'!I295),0),0)</f>
        <v>110403</v>
      </c>
      <c r="J295" s="18">
        <f>IFERROR(ABS('📂 Raw Data'!J295),0)</f>
        <v>46046</v>
      </c>
      <c r="K295" s="18">
        <f>IFERROR(ABS('📂 Raw Data'!K295),0)</f>
        <v>6281</v>
      </c>
      <c r="L295" s="18">
        <f>IFERROR(ABS('📂 Raw Data'!L295),0)</f>
        <v>7003</v>
      </c>
      <c r="M295" s="18">
        <f>IFERROR(ABS('📂 Raw Data'!M295),0)</f>
        <v>5391</v>
      </c>
      <c r="N295" s="18">
        <f t="shared" si="4"/>
        <v>175124</v>
      </c>
      <c r="O295" s="16">
        <f>IFERROR(ABS('📂 Raw Data'!O295),0)</f>
        <v>21</v>
      </c>
      <c r="P295" s="20">
        <f>IFERROR(ABS('📂 Raw Data'!P164),0)</f>
        <v>61</v>
      </c>
      <c r="Q295" s="19" t="str">
        <f>'📂 Raw Data'!Q295</f>
        <v>Below Average</v>
      </c>
      <c r="R295" s="55" t="str">
        <f>'📂 Raw Data'!R295</f>
        <v>Active</v>
      </c>
    </row>
    <row r="296" spans="1:18" ht="18" customHeight="1">
      <c r="A296" s="54" t="str">
        <f>'📂 Raw Data'!A296</f>
        <v>EMP1294</v>
      </c>
      <c r="B296" s="16" t="str">
        <f>PROPER(TRIM('📂 Raw Data'!B296))</f>
        <v>Xena Agarwal</v>
      </c>
      <c r="C296" s="16">
        <f>'📂 Raw Data'!C296</f>
        <v>29</v>
      </c>
      <c r="D296" s="16" t="str">
        <f>IF(OR('📂 Raw Data'!D296="M",'📂 Raw Data'!D296="m"),"Male",IF(OR('📂 Raw Data'!D296="F",'📂 Raw Data'!D296="f"),"Female",PROPER('📂 Raw Data'!D296)))</f>
        <v>Male</v>
      </c>
      <c r="E296" s="17" t="str">
        <f>UPPER(TRIM('📂 Raw Data'!E296))</f>
        <v>MARKETING</v>
      </c>
      <c r="F296" s="16" t="str">
        <f>PROPER(TRIM('📂 Raw Data'!F296))</f>
        <v>Brand Manager</v>
      </c>
      <c r="G296" s="16" t="str">
        <f>IFERROR(IF(ISNUMBER('📂 Raw Data'!G296),TEXT('📂 Raw Data'!G296,"DD-MMM-YYYY"),TEXT(DATEVALUE('📂 Raw Data'!G296),"DD-MMM-YYYY")),"Invalid Date")</f>
        <v>18-Jun-2017</v>
      </c>
      <c r="H296" s="16" t="str">
        <f>PROPER(TRIM('📂 Raw Data'!H296))</f>
        <v>Pune</v>
      </c>
      <c r="I296" s="18">
        <f>IFERROR(IF(ISNUMBER('📂 Raw Data'!I296),ABS('📂 Raw Data'!I296),0),0)</f>
        <v>97733</v>
      </c>
      <c r="J296" s="18">
        <f>IFERROR(ABS('📂 Raw Data'!J296),0)</f>
        <v>38776</v>
      </c>
      <c r="K296" s="18">
        <f>IFERROR(ABS('📂 Raw Data'!K296),0)</f>
        <v>7024</v>
      </c>
      <c r="L296" s="18">
        <f>IFERROR(ABS('📂 Raw Data'!L296),0)</f>
        <v>4732</v>
      </c>
      <c r="M296" s="18">
        <f>IFERROR(ABS('📂 Raw Data'!M296),0)</f>
        <v>3820</v>
      </c>
      <c r="N296" s="18">
        <f t="shared" si="4"/>
        <v>152085</v>
      </c>
      <c r="O296" s="16">
        <f>IFERROR(ABS('📂 Raw Data'!O296),0)</f>
        <v>26</v>
      </c>
      <c r="P296" s="20">
        <f>IFERROR(ABS('📂 Raw Data'!P165),0)</f>
        <v>58</v>
      </c>
      <c r="Q296" s="19" t="str">
        <f>'📂 Raw Data'!Q296</f>
        <v>Good</v>
      </c>
      <c r="R296" s="55" t="str">
        <f>'📂 Raw Data'!R296</f>
        <v>Active</v>
      </c>
    </row>
    <row r="297" spans="1:18" ht="18" customHeight="1">
      <c r="A297" s="54" t="str">
        <f>'📂 Raw Data'!A297</f>
        <v>EMP1295</v>
      </c>
      <c r="B297" s="16" t="str">
        <f>PROPER(TRIM('📂 Raw Data'!B297))</f>
        <v>Pooja Rao</v>
      </c>
      <c r="C297" s="16">
        <f>'📂 Raw Data'!C297</f>
        <v>46</v>
      </c>
      <c r="D297" s="16" t="str">
        <f>IF(OR('📂 Raw Data'!D297="M",'📂 Raw Data'!D297="m"),"Male",IF(OR('📂 Raw Data'!D297="F",'📂 Raw Data'!D297="f"),"Female",PROPER('📂 Raw Data'!D297)))</f>
        <v>Male</v>
      </c>
      <c r="E297" s="17" t="str">
        <f>UPPER(TRIM('📂 Raw Data'!E297))</f>
        <v>ENGINEERING</v>
      </c>
      <c r="F297" s="16" t="str">
        <f>PROPER(TRIM('📂 Raw Data'!F297))</f>
        <v>Senior Engineer</v>
      </c>
      <c r="G297" s="16" t="str">
        <f>IFERROR(IF(ISNUMBER('📂 Raw Data'!G297),TEXT('📂 Raw Data'!G297,"DD-MMM-YYYY"),TEXT(DATEVALUE('📂 Raw Data'!G297),"DD-MMM-YYYY")),"Invalid Date")</f>
        <v>26-Jul-2023</v>
      </c>
      <c r="H297" s="16" t="str">
        <f>PROPER(TRIM('📂 Raw Data'!H297))</f>
        <v>Pune</v>
      </c>
      <c r="I297" s="18">
        <f>IFERROR(IF(ISNUMBER('📂 Raw Data'!I297),ABS('📂 Raw Data'!I297),0),0)</f>
        <v>69359</v>
      </c>
      <c r="J297" s="18">
        <f>IFERROR(ABS('📂 Raw Data'!J297),0)</f>
        <v>31917</v>
      </c>
      <c r="K297" s="18">
        <f>IFERROR(ABS('📂 Raw Data'!K297),0)</f>
        <v>12060</v>
      </c>
      <c r="L297" s="18">
        <f>IFERROR(ABS('📂 Raw Data'!L297),0)</f>
        <v>5710</v>
      </c>
      <c r="M297" s="18">
        <f>IFERROR(ABS('📂 Raw Data'!M297),0)</f>
        <v>6607</v>
      </c>
      <c r="N297" s="18">
        <f t="shared" si="4"/>
        <v>125653</v>
      </c>
      <c r="O297" s="16">
        <f>IFERROR(ABS('📂 Raw Data'!O297),0)</f>
        <v>26</v>
      </c>
      <c r="P297" s="20">
        <f>IFERROR(ABS('📂 Raw Data'!P166),0)</f>
        <v>100</v>
      </c>
      <c r="Q297" s="19" t="str">
        <f>'📂 Raw Data'!Q297</f>
        <v>Good</v>
      </c>
      <c r="R297" s="55" t="str">
        <f>'📂 Raw Data'!R297</f>
        <v>Active</v>
      </c>
    </row>
    <row r="298" spans="1:18" ht="18" customHeight="1">
      <c r="A298" s="54" t="str">
        <f>'📂 Raw Data'!A298</f>
        <v>EMP1296</v>
      </c>
      <c r="B298" s="16" t="str">
        <f>PROPER(TRIM('📂 Raw Data'!B298))</f>
        <v>Usha Khanna</v>
      </c>
      <c r="C298" s="16">
        <f>'📂 Raw Data'!C298</f>
        <v>55</v>
      </c>
      <c r="D298" s="16" t="str">
        <f>IF(OR('📂 Raw Data'!D298="M",'📂 Raw Data'!D298="m"),"Male",IF(OR('📂 Raw Data'!D298="F",'📂 Raw Data'!D298="f"),"Female",PROPER('📂 Raw Data'!D298)))</f>
        <v>Female</v>
      </c>
      <c r="E298" s="17" t="str">
        <f>UPPER(TRIM('📂 Raw Data'!E298))</f>
        <v>FINANCE</v>
      </c>
      <c r="F298" s="16" t="str">
        <f>PROPER(TRIM('📂 Raw Data'!F298))</f>
        <v>Auditor</v>
      </c>
      <c r="G298" s="16" t="str">
        <f>IFERROR(IF(ISNUMBER('📂 Raw Data'!G298),TEXT('📂 Raw Data'!G298,"DD-MMM-YYYY"),TEXT(DATEVALUE('📂 Raw Data'!G298),"DD-MMM-YYYY")),"Invalid Date")</f>
        <v>09-Feb-2016</v>
      </c>
      <c r="H298" s="16" t="str">
        <f>PROPER(TRIM('📂 Raw Data'!H298))</f>
        <v>Bangalore</v>
      </c>
      <c r="I298" s="18">
        <f>IFERROR(IF(ISNUMBER('📂 Raw Data'!I298),ABS('📂 Raw Data'!I298),0),0)</f>
        <v>54067</v>
      </c>
      <c r="J298" s="18">
        <f>IFERROR(ABS('📂 Raw Data'!J298),0)</f>
        <v>20230</v>
      </c>
      <c r="K298" s="18">
        <f>IFERROR(ABS('📂 Raw Data'!K298),0)</f>
        <v>11978</v>
      </c>
      <c r="L298" s="18">
        <f>IFERROR(ABS('📂 Raw Data'!L298),0)</f>
        <v>309</v>
      </c>
      <c r="M298" s="18">
        <f>IFERROR(ABS('📂 Raw Data'!M298),0)</f>
        <v>6935</v>
      </c>
      <c r="N298" s="18">
        <f t="shared" si="4"/>
        <v>93519</v>
      </c>
      <c r="O298" s="16">
        <f>IFERROR(ABS('📂 Raw Data'!O298),0)</f>
        <v>21</v>
      </c>
      <c r="P298" s="20">
        <f>IFERROR(ABS('📂 Raw Data'!P167),0)</f>
        <v>44</v>
      </c>
      <c r="Q298" s="19" t="str">
        <f>'📂 Raw Data'!Q298</f>
        <v>Good</v>
      </c>
      <c r="R298" s="55" t="str">
        <f>'📂 Raw Data'!R298</f>
        <v>On Leave</v>
      </c>
    </row>
    <row r="299" spans="1:18" ht="18" customHeight="1">
      <c r="A299" s="54" t="str">
        <f>'📂 Raw Data'!A299</f>
        <v>EMP1297</v>
      </c>
      <c r="B299" s="16" t="str">
        <f>PROPER(TRIM('📂 Raw Data'!B299))</f>
        <v>Tarun Lal</v>
      </c>
      <c r="C299" s="16">
        <f>'📂 Raw Data'!C299</f>
        <v>32</v>
      </c>
      <c r="D299" s="16" t="str">
        <f>IF(OR('📂 Raw Data'!D299="M",'📂 Raw Data'!D299="m"),"Male",IF(OR('📂 Raw Data'!D299="F",'📂 Raw Data'!D299="f"),"Female",PROPER('📂 Raw Data'!D299)))</f>
        <v>Male</v>
      </c>
      <c r="E299" s="17" t="str">
        <f>UPPER(TRIM('📂 Raw Data'!E299))</f>
        <v>OPERATIONS</v>
      </c>
      <c r="F299" s="16" t="str">
        <f>PROPER(TRIM('📂 Raw Data'!F299))</f>
        <v>Coordinator</v>
      </c>
      <c r="G299" s="16" t="str">
        <f>IFERROR(IF(ISNUMBER('📂 Raw Data'!G299),TEXT('📂 Raw Data'!G299,"DD-MMM-YYYY"),TEXT(DATEVALUE('📂 Raw Data'!G299),"DD-MMM-YYYY")),"Invalid Date")</f>
        <v>07-Jan-2022</v>
      </c>
      <c r="H299" s="16" t="str">
        <f>PROPER(TRIM('📂 Raw Data'!H299))</f>
        <v>Pune</v>
      </c>
      <c r="I299" s="18">
        <f>IFERROR(IF(ISNUMBER('📂 Raw Data'!I299),ABS('📂 Raw Data'!I299),0),0)</f>
        <v>111099</v>
      </c>
      <c r="J299" s="18">
        <f>IFERROR(ABS('📂 Raw Data'!J299),0)</f>
        <v>54011</v>
      </c>
      <c r="K299" s="18">
        <f>IFERROR(ABS('📂 Raw Data'!K299),0)</f>
        <v>10489</v>
      </c>
      <c r="L299" s="18">
        <f>IFERROR(ABS('📂 Raw Data'!L299),0)</f>
        <v>2342</v>
      </c>
      <c r="M299" s="18">
        <f>IFERROR(ABS('📂 Raw Data'!M299),0)</f>
        <v>2595</v>
      </c>
      <c r="N299" s="18">
        <f t="shared" si="4"/>
        <v>180536</v>
      </c>
      <c r="O299" s="16">
        <f>IFERROR(ABS('📂 Raw Data'!O299),0)</f>
        <v>15</v>
      </c>
      <c r="P299" s="20">
        <f>IFERROR(ABS('📂 Raw Data'!P168),0)</f>
        <v>82</v>
      </c>
      <c r="Q299" s="19" t="str">
        <f>'📂 Raw Data'!Q299</f>
        <v>Excellent</v>
      </c>
      <c r="R299" s="55" t="str">
        <f>'📂 Raw Data'!R299</f>
        <v>Active</v>
      </c>
    </row>
    <row r="300" spans="1:18" ht="18" customHeight="1">
      <c r="A300" s="54" t="str">
        <f>'📂 Raw Data'!A300</f>
        <v>EMP1298</v>
      </c>
      <c r="B300" s="16" t="str">
        <f>PROPER(TRIM('📂 Raw Data'!B300))</f>
        <v>Chirag Chawla</v>
      </c>
      <c r="C300" s="16">
        <f>'📂 Raw Data'!C300</f>
        <v>27</v>
      </c>
      <c r="D300" s="16" t="str">
        <f>IF(OR('📂 Raw Data'!D300="M",'📂 Raw Data'!D300="m"),"Male",IF(OR('📂 Raw Data'!D300="F",'📂 Raw Data'!D300="f"),"Female",PROPER('📂 Raw Data'!D300)))</f>
        <v>Male</v>
      </c>
      <c r="E300" s="17" t="str">
        <f>UPPER(TRIM('📂 Raw Data'!E300))</f>
        <v>SALES</v>
      </c>
      <c r="F300" s="16" t="str">
        <f>PROPER(TRIM('📂 Raw Data'!F300))</f>
        <v>Sales Executive</v>
      </c>
      <c r="G300" s="16" t="str">
        <f>IFERROR(IF(ISNUMBER('📂 Raw Data'!G300),TEXT('📂 Raw Data'!G300,"DD-MMM-YYYY"),TEXT(DATEVALUE('📂 Raw Data'!G300),"DD-MMM-YYYY")),"Invalid Date")</f>
        <v>12-Jul-2019</v>
      </c>
      <c r="H300" s="16" t="str">
        <f>PROPER(TRIM('📂 Raw Data'!H300))</f>
        <v>Hyderabad</v>
      </c>
      <c r="I300" s="18">
        <f>IFERROR(IF(ISNUMBER('📂 Raw Data'!I300),ABS('📂 Raw Data'!I300),0),0)</f>
        <v>112773</v>
      </c>
      <c r="J300" s="18">
        <f>IFERROR(ABS('📂 Raw Data'!J300),0)</f>
        <v>42744</v>
      </c>
      <c r="K300" s="18">
        <f>IFERROR(ABS('📂 Raw Data'!K300),0)</f>
        <v>11602</v>
      </c>
      <c r="L300" s="18">
        <f>IFERROR(ABS('📂 Raw Data'!L300),0)</f>
        <v>1640</v>
      </c>
      <c r="M300" s="18">
        <f>IFERROR(ABS('📂 Raw Data'!M300),0)</f>
        <v>5241</v>
      </c>
      <c r="N300" s="18">
        <f t="shared" si="4"/>
        <v>174000</v>
      </c>
      <c r="O300" s="16">
        <f>IFERROR(ABS('📂 Raw Data'!O300),0)</f>
        <v>15</v>
      </c>
      <c r="P300" s="20">
        <f>IFERROR(ABS('📂 Raw Data'!P169),0)</f>
        <v>84</v>
      </c>
      <c r="Q300" s="19" t="str">
        <f>'📂 Raw Data'!Q300</f>
        <v>Poor</v>
      </c>
      <c r="R300" s="55" t="str">
        <f>'📂 Raw Data'!R300</f>
        <v>Active</v>
      </c>
    </row>
    <row r="301" spans="1:18" ht="18" customHeight="1">
      <c r="A301" s="54" t="str">
        <f>'📂 Raw Data'!A301</f>
        <v>EMP1299</v>
      </c>
      <c r="B301" s="16" t="str">
        <f>PROPER(TRIM('📂 Raw Data'!B301))</f>
        <v>Nikhil Dubey</v>
      </c>
      <c r="C301" s="16">
        <f>'📂 Raw Data'!C301</f>
        <v>54</v>
      </c>
      <c r="D301" s="16" t="str">
        <f>IF(OR('📂 Raw Data'!D301="M",'📂 Raw Data'!D301="m"),"Male",IF(OR('📂 Raw Data'!D301="F",'📂 Raw Data'!D301="f"),"Female",PROPER('📂 Raw Data'!D301)))</f>
        <v>Female</v>
      </c>
      <c r="E301" s="17" t="str">
        <f>UPPER(TRIM('📂 Raw Data'!E301))</f>
        <v>HR</v>
      </c>
      <c r="F301" s="16" t="str">
        <f>PROPER(TRIM('📂 Raw Data'!F301))</f>
        <v>Recruiter</v>
      </c>
      <c r="G301" s="16" t="str">
        <f>IFERROR(IF(ISNUMBER('📂 Raw Data'!G301),TEXT('📂 Raw Data'!G301,"DD-MMM-YYYY"),TEXT(DATEVALUE('📂 Raw Data'!G301),"DD-MMM-YYYY")),"Invalid Date")</f>
        <v>20-Apr-2019</v>
      </c>
      <c r="H301" s="16" t="str">
        <f>PROPER(TRIM('📂 Raw Data'!H301))</f>
        <v>Mumbai</v>
      </c>
      <c r="I301" s="18">
        <f>IFERROR(IF(ISNUMBER('📂 Raw Data'!I301),ABS('📂 Raw Data'!I301),0),0)</f>
        <v>50496</v>
      </c>
      <c r="J301" s="18">
        <f>IFERROR(ABS('📂 Raw Data'!J301),0)</f>
        <v>19742</v>
      </c>
      <c r="K301" s="18">
        <f>IFERROR(ABS('📂 Raw Data'!K301),0)</f>
        <v>8618</v>
      </c>
      <c r="L301" s="18">
        <f>IFERROR(ABS('📂 Raw Data'!L301),0)</f>
        <v>4709</v>
      </c>
      <c r="M301" s="18">
        <f>IFERROR(ABS('📂 Raw Data'!M301),0)</f>
        <v>1038</v>
      </c>
      <c r="N301" s="18">
        <f t="shared" si="4"/>
        <v>84603</v>
      </c>
      <c r="O301" s="16">
        <f>IFERROR(ABS('📂 Raw Data'!O301),0)</f>
        <v>19</v>
      </c>
      <c r="P301" s="20">
        <f>IFERROR(ABS('📂 Raw Data'!P170),0)</f>
        <v>49</v>
      </c>
      <c r="Q301" s="19" t="str">
        <f>'📂 Raw Data'!Q301</f>
        <v>Average</v>
      </c>
      <c r="R301" s="55" t="str">
        <f>'📂 Raw Data'!R301</f>
        <v>Resigned</v>
      </c>
    </row>
    <row r="302" spans="1:18" ht="18" customHeight="1">
      <c r="A302" s="54" t="str">
        <f>'📂 Raw Data'!A302</f>
        <v>EMP1300</v>
      </c>
      <c r="B302" s="16" t="str">
        <f>PROPER(TRIM('📂 Raw Data'!B302))</f>
        <v>Bhavna Nair</v>
      </c>
      <c r="C302" s="16">
        <f>'📂 Raw Data'!C302</f>
        <v>43</v>
      </c>
      <c r="D302" s="16" t="str">
        <f>IF(OR('📂 Raw Data'!D302="M",'📂 Raw Data'!D302="m"),"Male",IF(OR('📂 Raw Data'!D302="F",'📂 Raw Data'!D302="f"),"Female",PROPER('📂 Raw Data'!D302)))</f>
        <v>Male</v>
      </c>
      <c r="E302" s="17" t="str">
        <f>UPPER(TRIM('📂 Raw Data'!E302))</f>
        <v>HR</v>
      </c>
      <c r="F302" s="16" t="str">
        <f>PROPER(TRIM('📂 Raw Data'!F302))</f>
        <v>Hr Executive</v>
      </c>
      <c r="G302" s="16" t="str">
        <f>IFERROR(IF(ISNUMBER('📂 Raw Data'!G302),TEXT('📂 Raw Data'!G302,"DD-MMM-YYYY"),TEXT(DATEVALUE('📂 Raw Data'!G302),"DD-MMM-YYYY")),"Invalid Date")</f>
        <v>18-May-2023</v>
      </c>
      <c r="H302" s="16" t="str">
        <f>PROPER(TRIM('📂 Raw Data'!H302))</f>
        <v>Kolkata</v>
      </c>
      <c r="I302" s="18">
        <f>IFERROR(IF(ISNUMBER('📂 Raw Data'!I302),ABS('📂 Raw Data'!I302),0),0)</f>
        <v>100352</v>
      </c>
      <c r="J302" s="18">
        <f>IFERROR(ABS('📂 Raw Data'!J302),0)</f>
        <v>35126</v>
      </c>
      <c r="K302" s="18">
        <f>IFERROR(ABS('📂 Raw Data'!K302),0)</f>
        <v>9254</v>
      </c>
      <c r="L302" s="18">
        <f>IFERROR(ABS('📂 Raw Data'!L302),0)</f>
        <v>7913</v>
      </c>
      <c r="M302" s="18">
        <f>IFERROR(ABS('📂 Raw Data'!M302),0)</f>
        <v>4089</v>
      </c>
      <c r="N302" s="18">
        <f t="shared" si="4"/>
        <v>156734</v>
      </c>
      <c r="O302" s="16">
        <f>IFERROR(ABS('📂 Raw Data'!O302),0)</f>
        <v>24</v>
      </c>
      <c r="P302" s="20">
        <f>IFERROR(ABS('📂 Raw Data'!P171),0)</f>
        <v>91</v>
      </c>
      <c r="Q302" s="19" t="str">
        <f>'📂 Raw Data'!Q302</f>
        <v>Poor</v>
      </c>
      <c r="R302" s="55" t="str">
        <f>'📂 Raw Data'!R302</f>
        <v>Active</v>
      </c>
    </row>
    <row r="303" spans="1:18" ht="18" customHeight="1">
      <c r="A303" s="54" t="str">
        <f>'📂 Raw Data'!A303</f>
        <v>EMP1301</v>
      </c>
      <c r="B303" s="16" t="str">
        <f>PROPER(TRIM('📂 Raw Data'!B303))</f>
        <v>Om Walia</v>
      </c>
      <c r="C303" s="16">
        <f>'📂 Raw Data'!C303</f>
        <v>48</v>
      </c>
      <c r="D303" s="16" t="str">
        <f>IF(OR('📂 Raw Data'!D303="M",'📂 Raw Data'!D303="m"),"Male",IF(OR('📂 Raw Data'!D303="F",'📂 Raw Data'!D303="f"),"Female",PROPER('📂 Raw Data'!D303)))</f>
        <v>Female</v>
      </c>
      <c r="E303" s="17" t="str">
        <f>UPPER(TRIM('📂 Raw Data'!E303))</f>
        <v>ENGINEERING</v>
      </c>
      <c r="F303" s="16" t="str">
        <f>PROPER(TRIM('📂 Raw Data'!F303))</f>
        <v>Qa Engineer</v>
      </c>
      <c r="G303" s="16" t="str">
        <f>IFERROR(IF(ISNUMBER('📂 Raw Data'!G303),TEXT('📂 Raw Data'!G303,"DD-MMM-YYYY"),TEXT(DATEVALUE('📂 Raw Data'!G303),"DD-MMM-YYYY")),"Invalid Date")</f>
        <v>05-Jan-2016</v>
      </c>
      <c r="H303" s="16" t="str">
        <f>PROPER(TRIM('📂 Raw Data'!H303))</f>
        <v>Bangalore</v>
      </c>
      <c r="I303" s="18">
        <f>IFERROR(IF(ISNUMBER('📂 Raw Data'!I303),ABS('📂 Raw Data'!I303),0),0)</f>
        <v>0</v>
      </c>
      <c r="J303" s="18">
        <f>IFERROR(ABS('📂 Raw Data'!J303),0)</f>
        <v>32072</v>
      </c>
      <c r="K303" s="18">
        <f>IFERROR(ABS('📂 Raw Data'!K303),0)</f>
        <v>5610</v>
      </c>
      <c r="L303" s="18">
        <f>IFERROR(ABS('📂 Raw Data'!L303),0)</f>
        <v>5545</v>
      </c>
      <c r="M303" s="18">
        <f>IFERROR(ABS('📂 Raw Data'!M303),0)</f>
        <v>6744</v>
      </c>
      <c r="N303" s="18">
        <f t="shared" si="4"/>
        <v>49971</v>
      </c>
      <c r="O303" s="16">
        <f>IFERROR(ABS('📂 Raw Data'!O303),0)</f>
        <v>18</v>
      </c>
      <c r="P303" s="20">
        <f>IFERROR(ABS('📂 Raw Data'!P172),0)</f>
        <v>91</v>
      </c>
      <c r="Q303" s="19" t="str">
        <f>'📂 Raw Data'!Q303</f>
        <v>Average</v>
      </c>
      <c r="R303" s="55" t="str">
        <f>'📂 Raw Data'!R303</f>
        <v>Resigned</v>
      </c>
    </row>
    <row r="304" spans="1:18" ht="18" customHeight="1">
      <c r="A304" s="54" t="str">
        <f>'📂 Raw Data'!A304</f>
        <v>EMP1302</v>
      </c>
      <c r="B304" s="16" t="str">
        <f>PROPER(TRIM('📂 Raw Data'!B304))</f>
        <v>Qasim Shah</v>
      </c>
      <c r="C304" s="16">
        <f>'📂 Raw Data'!C304</f>
        <v>33</v>
      </c>
      <c r="D304" s="16" t="str">
        <f>IF(OR('📂 Raw Data'!D304="M",'📂 Raw Data'!D304="m"),"Male",IF(OR('📂 Raw Data'!D304="F",'📂 Raw Data'!D304="f"),"Female",PROPER('📂 Raw Data'!D304)))</f>
        <v>Female</v>
      </c>
      <c r="E304" s="17" t="str">
        <f>UPPER(TRIM('📂 Raw Data'!E304))</f>
        <v>SALES</v>
      </c>
      <c r="F304" s="16" t="str">
        <f>PROPER(TRIM('📂 Raw Data'!F304))</f>
        <v>Sales Manager</v>
      </c>
      <c r="G304" s="16" t="str">
        <f>IFERROR(IF(ISNUMBER('📂 Raw Data'!G304),TEXT('📂 Raw Data'!G304,"DD-MMM-YYYY"),TEXT(DATEVALUE('📂 Raw Data'!G304),"DD-MMM-YYYY")),"Invalid Date")</f>
        <v>22-Jul-2016</v>
      </c>
      <c r="H304" s="16" t="str">
        <f>PROPER(TRIM('📂 Raw Data'!H304))</f>
        <v>Pune</v>
      </c>
      <c r="I304" s="18">
        <f>IFERROR(IF(ISNUMBER('📂 Raw Data'!I304),ABS('📂 Raw Data'!I304),0),0)</f>
        <v>69825</v>
      </c>
      <c r="J304" s="18">
        <f>IFERROR(ABS('📂 Raw Data'!J304),0)</f>
        <v>22009</v>
      </c>
      <c r="K304" s="18">
        <f>IFERROR(ABS('📂 Raw Data'!K304),0)</f>
        <v>4924</v>
      </c>
      <c r="L304" s="18">
        <f>IFERROR(ABS('📂 Raw Data'!L304),0)</f>
        <v>3903</v>
      </c>
      <c r="M304" s="18">
        <f>IFERROR(ABS('📂 Raw Data'!M304),0)</f>
        <v>3571</v>
      </c>
      <c r="N304" s="18">
        <f t="shared" si="4"/>
        <v>104232</v>
      </c>
      <c r="O304" s="16">
        <f>IFERROR(ABS('📂 Raw Data'!O304),0)</f>
        <v>20</v>
      </c>
      <c r="P304" s="20">
        <f>IFERROR(ABS('📂 Raw Data'!P173),0)</f>
        <v>91</v>
      </c>
      <c r="Q304" s="19" t="str">
        <f>'📂 Raw Data'!Q304</f>
        <v>Good</v>
      </c>
      <c r="R304" s="55" t="str">
        <f>'📂 Raw Data'!R304</f>
        <v>On Leave</v>
      </c>
    </row>
    <row r="305" spans="1:18" ht="18" customHeight="1">
      <c r="A305" s="54" t="str">
        <f>'📂 Raw Data'!A305</f>
        <v>EMP1303</v>
      </c>
      <c r="B305" s="16" t="str">
        <f>PROPER(TRIM('📂 Raw Data'!B305))</f>
        <v>Farhan Reddy</v>
      </c>
      <c r="C305" s="16">
        <f>'📂 Raw Data'!C305</f>
        <v>53</v>
      </c>
      <c r="D305" s="16" t="str">
        <f>IF(OR('📂 Raw Data'!D305="M",'📂 Raw Data'!D305="m"),"Male",IF(OR('📂 Raw Data'!D305="F",'📂 Raw Data'!D305="f"),"Female",PROPER('📂 Raw Data'!D305)))</f>
        <v>Male</v>
      </c>
      <c r="E305" s="17" t="str">
        <f>UPPER(TRIM('📂 Raw Data'!E305))</f>
        <v>SALES</v>
      </c>
      <c r="F305" s="16" t="str">
        <f>PROPER(TRIM('📂 Raw Data'!F305))</f>
        <v>Senior Sales</v>
      </c>
      <c r="G305" s="16" t="str">
        <f>IFERROR(IF(ISNUMBER('📂 Raw Data'!G305),TEXT('📂 Raw Data'!G305,"DD-MMM-YYYY"),TEXT(DATEVALUE('📂 Raw Data'!G305),"DD-MMM-YYYY")),"Invalid Date")</f>
        <v>08-Apr-2019</v>
      </c>
      <c r="H305" s="16" t="str">
        <f>PROPER(TRIM('📂 Raw Data'!H305))</f>
        <v>Hyderabad</v>
      </c>
      <c r="I305" s="18">
        <f>IFERROR(IF(ISNUMBER('📂 Raw Data'!I305),ABS('📂 Raw Data'!I305),0),0)</f>
        <v>51577</v>
      </c>
      <c r="J305" s="18">
        <f>IFERROR(ABS('📂 Raw Data'!J305),0)</f>
        <v>24086</v>
      </c>
      <c r="K305" s="18">
        <f>IFERROR(ABS('📂 Raw Data'!K305),0)</f>
        <v>12135</v>
      </c>
      <c r="L305" s="18">
        <f>IFERROR(ABS('📂 Raw Data'!L305),0)</f>
        <v>2916</v>
      </c>
      <c r="M305" s="18">
        <f>IFERROR(ABS('📂 Raw Data'!M305),0)</f>
        <v>2277</v>
      </c>
      <c r="N305" s="18">
        <f t="shared" si="4"/>
        <v>92991</v>
      </c>
      <c r="O305" s="16">
        <f>IFERROR(ABS('📂 Raw Data'!O305),0)</f>
        <v>16</v>
      </c>
      <c r="P305" s="20">
        <f>IFERROR(ABS('📂 Raw Data'!P174),0)</f>
        <v>79</v>
      </c>
      <c r="Q305" s="19" t="str">
        <f>'📂 Raw Data'!Q305</f>
        <v>Excellent</v>
      </c>
      <c r="R305" s="55" t="str">
        <f>'📂 Raw Data'!R305</f>
        <v>Active</v>
      </c>
    </row>
    <row r="306" spans="1:18" ht="18" customHeight="1">
      <c r="A306" s="54" t="str">
        <f>'📂 Raw Data'!A306</f>
        <v>EMP1304</v>
      </c>
      <c r="B306" s="16" t="str">
        <f>PROPER(TRIM('📂 Raw Data'!B306))</f>
        <v>Pooja Islam</v>
      </c>
      <c r="C306" s="16">
        <f>'📂 Raw Data'!C306</f>
        <v>30</v>
      </c>
      <c r="D306" s="16" t="str">
        <f>IF(OR('📂 Raw Data'!D306="M",'📂 Raw Data'!D306="m"),"Male",IF(OR('📂 Raw Data'!D306="F",'📂 Raw Data'!D306="f"),"Female",PROPER('📂 Raw Data'!D306)))</f>
        <v>Male</v>
      </c>
      <c r="E306" s="17" t="str">
        <f>UPPER(TRIM('📂 Raw Data'!E306))</f>
        <v>FINANCE</v>
      </c>
      <c r="F306" s="16" t="str">
        <f>PROPER(TRIM('📂 Raw Data'!F306))</f>
        <v>Finance Manager</v>
      </c>
      <c r="G306" s="16" t="str">
        <f>IFERROR(IF(ISNUMBER('📂 Raw Data'!G306),TEXT('📂 Raw Data'!G306,"DD-MMM-YYYY"),TEXT(DATEVALUE('📂 Raw Data'!G306),"DD-MMM-YYYY")),"Invalid Date")</f>
        <v>19-Aug-2020</v>
      </c>
      <c r="H306" s="16" t="str">
        <f>PROPER(TRIM('📂 Raw Data'!H306))</f>
        <v>Mumbai</v>
      </c>
      <c r="I306" s="18">
        <f>IFERROR(IF(ISNUMBER('📂 Raw Data'!I306),ABS('📂 Raw Data'!I306),0),0)</f>
        <v>61009</v>
      </c>
      <c r="J306" s="18">
        <f>IFERROR(ABS('📂 Raw Data'!J306),0)</f>
        <v>24291</v>
      </c>
      <c r="K306" s="18">
        <f>IFERROR(ABS('📂 Raw Data'!K306),0)</f>
        <v>14521</v>
      </c>
      <c r="L306" s="18">
        <f>IFERROR(ABS('📂 Raw Data'!L306),0)</f>
        <v>7503</v>
      </c>
      <c r="M306" s="18">
        <f>IFERROR(ABS('📂 Raw Data'!M306),0)</f>
        <v>5187</v>
      </c>
      <c r="N306" s="18">
        <f t="shared" si="4"/>
        <v>112511</v>
      </c>
      <c r="O306" s="16">
        <f>IFERROR(ABS('📂 Raw Data'!O306),0)</f>
        <v>19</v>
      </c>
      <c r="P306" s="20">
        <f>IFERROR(ABS('📂 Raw Data'!P175),0)</f>
        <v>84</v>
      </c>
      <c r="Q306" s="19" t="str">
        <f>'📂 Raw Data'!Q306</f>
        <v>Below Average</v>
      </c>
      <c r="R306" s="55" t="str">
        <f>'📂 Raw Data'!R306</f>
        <v>Resigned</v>
      </c>
    </row>
    <row r="307" spans="1:18" ht="18" customHeight="1">
      <c r="A307" s="54" t="str">
        <f>'📂 Raw Data'!A307</f>
        <v>EMP1305</v>
      </c>
      <c r="B307" s="16" t="str">
        <f>PROPER(TRIM('📂 Raw Data'!B307))</f>
        <v>Esha Iyer</v>
      </c>
      <c r="C307" s="16">
        <f>'📂 Raw Data'!C307</f>
        <v>42</v>
      </c>
      <c r="D307" s="16" t="str">
        <f>IF(OR('📂 Raw Data'!D307="M",'📂 Raw Data'!D307="m"),"Male",IF(OR('📂 Raw Data'!D307="F",'📂 Raw Data'!D307="f"),"Female",PROPER('📂 Raw Data'!D307)))</f>
        <v>Female</v>
      </c>
      <c r="E307" s="17" t="str">
        <f>UPPER(TRIM('📂 Raw Data'!E307))</f>
        <v>MARKETING</v>
      </c>
      <c r="F307" s="16" t="str">
        <f>PROPER(TRIM('📂 Raw Data'!F307))</f>
        <v>Marketing Executive</v>
      </c>
      <c r="G307" s="16" t="str">
        <f>IFERROR(IF(ISNUMBER('📂 Raw Data'!G307),TEXT('📂 Raw Data'!G307,"DD-MMM-YYYY"),TEXT(DATEVALUE('📂 Raw Data'!G307),"DD-MMM-YYYY")),"Invalid Date")</f>
        <v>13-Jun-2023</v>
      </c>
      <c r="H307" s="16" t="str">
        <f>PROPER(TRIM('📂 Raw Data'!H307))</f>
        <v>Pune</v>
      </c>
      <c r="I307" s="18">
        <f>IFERROR(IF(ISNUMBER('📂 Raw Data'!I307),ABS('📂 Raw Data'!I307),0),0)</f>
        <v>114959</v>
      </c>
      <c r="J307" s="18">
        <f>IFERROR(ABS('📂 Raw Data'!J307),0)</f>
        <v>52327</v>
      </c>
      <c r="K307" s="18">
        <f>IFERROR(ABS('📂 Raw Data'!K307),0)</f>
        <v>9490</v>
      </c>
      <c r="L307" s="18">
        <f>IFERROR(ABS('📂 Raw Data'!L307),0)</f>
        <v>7999</v>
      </c>
      <c r="M307" s="18">
        <f>IFERROR(ABS('📂 Raw Data'!M307),0)</f>
        <v>1986</v>
      </c>
      <c r="N307" s="18">
        <f t="shared" si="4"/>
        <v>186761</v>
      </c>
      <c r="O307" s="16">
        <f>IFERROR(ABS('📂 Raw Data'!O307),0)</f>
        <v>26</v>
      </c>
      <c r="P307" s="20">
        <f>IFERROR(ABS('📂 Raw Data'!P176),0)</f>
        <v>50</v>
      </c>
      <c r="Q307" s="19" t="str">
        <f>'📂 Raw Data'!Q307</f>
        <v>Good</v>
      </c>
      <c r="R307" s="55" t="str">
        <f>'📂 Raw Data'!R307</f>
        <v>Active</v>
      </c>
    </row>
    <row r="308" spans="1:18" ht="18" customHeight="1">
      <c r="A308" s="54" t="str">
        <f>'📂 Raw Data'!A308</f>
        <v>EMP1306</v>
      </c>
      <c r="B308" s="16" t="str">
        <f>PROPER(TRIM('📂 Raw Data'!B308))</f>
        <v>Zara Qadir</v>
      </c>
      <c r="C308" s="16">
        <f>'📂 Raw Data'!C308</f>
        <v>45</v>
      </c>
      <c r="D308" s="16" t="str">
        <f>IF(OR('📂 Raw Data'!D308="M",'📂 Raw Data'!D308="m"),"Male",IF(OR('📂 Raw Data'!D308="F",'📂 Raw Data'!D308="f"),"Female",PROPER('📂 Raw Data'!D308)))</f>
        <v>Female</v>
      </c>
      <c r="E308" s="17" t="str">
        <f>UPPER(TRIM('📂 Raw Data'!E308))</f>
        <v>FINANCE</v>
      </c>
      <c r="F308" s="16" t="str">
        <f>PROPER(TRIM('📂 Raw Data'!F308))</f>
        <v>Accountant</v>
      </c>
      <c r="G308" s="16" t="str">
        <f>IFERROR(IF(ISNUMBER('📂 Raw Data'!G308),TEXT('📂 Raw Data'!G308,"DD-MMM-YYYY"),TEXT(DATEVALUE('📂 Raw Data'!G308),"DD-MMM-YYYY")),"Invalid Date")</f>
        <v>20-Jun-2020</v>
      </c>
      <c r="H308" s="16" t="str">
        <f>PROPER(TRIM('📂 Raw Data'!H308))</f>
        <v>Delhi</v>
      </c>
      <c r="I308" s="18">
        <f>IFERROR(IF(ISNUMBER('📂 Raw Data'!I308),ABS('📂 Raw Data'!I308),0),0)</f>
        <v>59039</v>
      </c>
      <c r="J308" s="18">
        <f>IFERROR(ABS('📂 Raw Data'!J308),0)</f>
        <v>19922</v>
      </c>
      <c r="K308" s="18">
        <f>IFERROR(ABS('📂 Raw Data'!K308),0)</f>
        <v>6306</v>
      </c>
      <c r="L308" s="18">
        <f>IFERROR(ABS('📂 Raw Data'!L308),0)</f>
        <v>1942</v>
      </c>
      <c r="M308" s="18">
        <f>IFERROR(ABS('📂 Raw Data'!M308),0)</f>
        <v>3206</v>
      </c>
      <c r="N308" s="18">
        <f t="shared" si="4"/>
        <v>90415</v>
      </c>
      <c r="O308" s="16">
        <f>IFERROR(ABS('📂 Raw Data'!O308),0)</f>
        <v>22</v>
      </c>
      <c r="P308" s="20">
        <f>IFERROR(ABS('📂 Raw Data'!P177),0)</f>
        <v>66</v>
      </c>
      <c r="Q308" s="19" t="str">
        <f>'📂 Raw Data'!Q308</f>
        <v>Below Average</v>
      </c>
      <c r="R308" s="55" t="str">
        <f>'📂 Raw Data'!R308</f>
        <v>Active</v>
      </c>
    </row>
    <row r="309" spans="1:18" ht="18" customHeight="1">
      <c r="A309" s="54" t="str">
        <f>'📂 Raw Data'!A309</f>
        <v>EMP1307</v>
      </c>
      <c r="B309" s="16" t="str">
        <f>PROPER(TRIM('📂 Raw Data'!B309))</f>
        <v>Hina Islam</v>
      </c>
      <c r="C309" s="16">
        <f>'📂 Raw Data'!C309</f>
        <v>39</v>
      </c>
      <c r="D309" s="16" t="str">
        <f>IF(OR('📂 Raw Data'!D309="M",'📂 Raw Data'!D309="m"),"Male",IF(OR('📂 Raw Data'!D309="F",'📂 Raw Data'!D309="f"),"Female",PROPER('📂 Raw Data'!D309)))</f>
        <v>Male</v>
      </c>
      <c r="E309" s="17" t="str">
        <f>UPPER(TRIM('📂 Raw Data'!E309))</f>
        <v>OPERATIONS</v>
      </c>
      <c r="F309" s="16" t="str">
        <f>PROPER(TRIM('📂 Raw Data'!F309))</f>
        <v>Admin Officer</v>
      </c>
      <c r="G309" s="16" t="str">
        <f>IFERROR(IF(ISNUMBER('📂 Raw Data'!G309),TEXT('📂 Raw Data'!G309,"DD-MMM-YYYY"),TEXT(DATEVALUE('📂 Raw Data'!G309),"DD-MMM-YYYY")),"Invalid Date")</f>
        <v>09-Jul-2020</v>
      </c>
      <c r="H309" s="16" t="str">
        <f>PROPER(TRIM('📂 Raw Data'!H309))</f>
        <v>Kolkata</v>
      </c>
      <c r="I309" s="18">
        <f>IFERROR(IF(ISNUMBER('📂 Raw Data'!I309),ABS('📂 Raw Data'!I309),0),0)</f>
        <v>84077</v>
      </c>
      <c r="J309" s="18">
        <f>IFERROR(ABS('📂 Raw Data'!J309),0)</f>
        <v>28248</v>
      </c>
      <c r="K309" s="18">
        <f>IFERROR(ABS('📂 Raw Data'!K309),0)</f>
        <v>4148</v>
      </c>
      <c r="L309" s="18">
        <f>IFERROR(ABS('📂 Raw Data'!L309),0)</f>
        <v>4717</v>
      </c>
      <c r="M309" s="18">
        <f>IFERROR(ABS('📂 Raw Data'!M309),0)</f>
        <v>6619</v>
      </c>
      <c r="N309" s="18">
        <f t="shared" si="4"/>
        <v>127809</v>
      </c>
      <c r="O309" s="16">
        <f>IFERROR(ABS('📂 Raw Data'!O309),0)</f>
        <v>18</v>
      </c>
      <c r="P309" s="20">
        <f>IFERROR(ABS('📂 Raw Data'!P178),0)</f>
        <v>76</v>
      </c>
      <c r="Q309" s="19" t="str">
        <f>'📂 Raw Data'!Q309</f>
        <v>Below Average</v>
      </c>
      <c r="R309" s="55" t="str">
        <f>'📂 Raw Data'!R309</f>
        <v>Active</v>
      </c>
    </row>
    <row r="310" spans="1:18" ht="18" customHeight="1">
      <c r="A310" s="54" t="str">
        <f>'📂 Raw Data'!A310</f>
        <v>EMP1308</v>
      </c>
      <c r="B310" s="16" t="str">
        <f>PROPER(TRIM('📂 Raw Data'!B310))</f>
        <v>Hina Hassan</v>
      </c>
      <c r="C310" s="16">
        <f>'📂 Raw Data'!C310</f>
        <v>53</v>
      </c>
      <c r="D310" s="16" t="str">
        <f>IF(OR('📂 Raw Data'!D310="M",'📂 Raw Data'!D310="m"),"Male",IF(OR('📂 Raw Data'!D310="F",'📂 Raw Data'!D310="f"),"Female",PROPER('📂 Raw Data'!D310)))</f>
        <v>Female</v>
      </c>
      <c r="E310" s="17" t="str">
        <f>UPPER(TRIM('📂 Raw Data'!E310))</f>
        <v>SALES</v>
      </c>
      <c r="F310" s="16" t="str">
        <f>PROPER(TRIM('📂 Raw Data'!F310))</f>
        <v>Senior Sales</v>
      </c>
      <c r="G310" s="16" t="str">
        <f>IFERROR(IF(ISNUMBER('📂 Raw Data'!G310),TEXT('📂 Raw Data'!G310,"DD-MMM-YYYY"),TEXT(DATEVALUE('📂 Raw Data'!G310),"DD-MMM-YYYY")),"Invalid Date")</f>
        <v>26-Aug-2017</v>
      </c>
      <c r="H310" s="16" t="str">
        <f>PROPER(TRIM('📂 Raw Data'!H310))</f>
        <v>Bangalore</v>
      </c>
      <c r="I310" s="18">
        <f>IFERROR(IF(ISNUMBER('📂 Raw Data'!I310),ABS('📂 Raw Data'!I310),0),0)</f>
        <v>26276</v>
      </c>
      <c r="J310" s="18">
        <f>IFERROR(ABS('📂 Raw Data'!J310),0)</f>
        <v>8811</v>
      </c>
      <c r="K310" s="18">
        <f>IFERROR(ABS('📂 Raw Data'!K310),0)</f>
        <v>10185</v>
      </c>
      <c r="L310" s="18">
        <f>IFERROR(ABS('📂 Raw Data'!L310),0)</f>
        <v>1101</v>
      </c>
      <c r="M310" s="18">
        <f>IFERROR(ABS('📂 Raw Data'!M310),0)</f>
        <v>7958</v>
      </c>
      <c r="N310" s="18">
        <f t="shared" si="4"/>
        <v>54331</v>
      </c>
      <c r="O310" s="16">
        <f>IFERROR(ABS('📂 Raw Data'!O310),0)</f>
        <v>25</v>
      </c>
      <c r="P310" s="20">
        <f>IFERROR(ABS('📂 Raw Data'!P179),0)</f>
        <v>95</v>
      </c>
      <c r="Q310" s="19" t="str">
        <f>'📂 Raw Data'!Q310</f>
        <v>Excellent</v>
      </c>
      <c r="R310" s="55" t="str">
        <f>'📂 Raw Data'!R310</f>
        <v>Active</v>
      </c>
    </row>
    <row r="311" spans="1:18" ht="18" customHeight="1">
      <c r="A311" s="54" t="str">
        <f>'📂 Raw Data'!A311</f>
        <v>EMP1309</v>
      </c>
      <c r="B311" s="16" t="str">
        <f>PROPER(TRIM('📂 Raw Data'!B311))</f>
        <v>Hina Rastogi</v>
      </c>
      <c r="C311" s="16">
        <f>'📂 Raw Data'!C311</f>
        <v>45</v>
      </c>
      <c r="D311" s="16" t="str">
        <f>IF(OR('📂 Raw Data'!D311="M",'📂 Raw Data'!D311="m"),"Male",IF(OR('📂 Raw Data'!D311="F",'📂 Raw Data'!D311="f"),"Female",PROPER('📂 Raw Data'!D311)))</f>
        <v>Female</v>
      </c>
      <c r="E311" s="17" t="str">
        <f>UPPER(TRIM('📂 Raw Data'!E311))</f>
        <v>FINANCE</v>
      </c>
      <c r="F311" s="16" t="str">
        <f>PROPER(TRIM('📂 Raw Data'!F311))</f>
        <v>Accountant</v>
      </c>
      <c r="G311" s="16" t="str">
        <f>IFERROR(IF(ISNUMBER('📂 Raw Data'!G311),TEXT('📂 Raw Data'!G311,"DD-MMM-YYYY"),TEXT(DATEVALUE('📂 Raw Data'!G311),"DD-MMM-YYYY")),"Invalid Date")</f>
        <v>07-Jan-2017</v>
      </c>
      <c r="H311" s="16" t="str">
        <f>PROPER(TRIM('📂 Raw Data'!H311))</f>
        <v>Bangalore</v>
      </c>
      <c r="I311" s="18">
        <f>IFERROR(IF(ISNUMBER('📂 Raw Data'!I311),ABS('📂 Raw Data'!I311),0),0)</f>
        <v>58330</v>
      </c>
      <c r="J311" s="18">
        <f>IFERROR(ABS('📂 Raw Data'!J311),0)</f>
        <v>23058</v>
      </c>
      <c r="K311" s="18">
        <f>IFERROR(ABS('📂 Raw Data'!K311),0)</f>
        <v>12319</v>
      </c>
      <c r="L311" s="18">
        <f>IFERROR(ABS('📂 Raw Data'!L311),0)</f>
        <v>788</v>
      </c>
      <c r="M311" s="18">
        <f>IFERROR(ABS('📂 Raw Data'!M311),0)</f>
        <v>4685</v>
      </c>
      <c r="N311" s="18">
        <f t="shared" si="4"/>
        <v>99180</v>
      </c>
      <c r="O311" s="16">
        <f>IFERROR(ABS('📂 Raw Data'!O311),0)</f>
        <v>26</v>
      </c>
      <c r="P311" s="20">
        <f>IFERROR(ABS('📂 Raw Data'!P180),0)</f>
        <v>50</v>
      </c>
      <c r="Q311" s="19" t="str">
        <f>'📂 Raw Data'!Q311</f>
        <v>Average</v>
      </c>
      <c r="R311" s="55" t="str">
        <f>'📂 Raw Data'!R311</f>
        <v>Resigned</v>
      </c>
    </row>
    <row r="312" spans="1:18" ht="18" customHeight="1">
      <c r="A312" s="54" t="str">
        <f>'📂 Raw Data'!A312</f>
        <v>EMP1310</v>
      </c>
      <c r="B312" s="16" t="str">
        <f>PROPER(TRIM('📂 Raw Data'!B312))</f>
        <v>Bhavna Dubey</v>
      </c>
      <c r="C312" s="16">
        <f>'📂 Raw Data'!C312</f>
        <v>40</v>
      </c>
      <c r="D312" s="16" t="str">
        <f>IF(OR('📂 Raw Data'!D312="M",'📂 Raw Data'!D312="m"),"Male",IF(OR('📂 Raw Data'!D312="F",'📂 Raw Data'!D312="f"),"Female",PROPER('📂 Raw Data'!D312)))</f>
        <v>Male</v>
      </c>
      <c r="E312" s="17" t="str">
        <f>UPPER(TRIM('📂 Raw Data'!E312))</f>
        <v>HR</v>
      </c>
      <c r="F312" s="16" t="str">
        <f>PROPER(TRIM('📂 Raw Data'!F312))</f>
        <v>Hr Executive</v>
      </c>
      <c r="G312" s="16" t="str">
        <f>IFERROR(IF(ISNUMBER('📂 Raw Data'!G312),TEXT('📂 Raw Data'!G312,"DD-MMM-YYYY"),TEXT(DATEVALUE('📂 Raw Data'!G312),"DD-MMM-YYYY")),"Invalid Date")</f>
        <v>12-Feb-2021</v>
      </c>
      <c r="H312" s="16" t="str">
        <f>PROPER(TRIM('📂 Raw Data'!H312))</f>
        <v>Bangalore</v>
      </c>
      <c r="I312" s="18">
        <f>IFERROR(IF(ISNUMBER('📂 Raw Data'!I312),ABS('📂 Raw Data'!I312),0),0)</f>
        <v>114074</v>
      </c>
      <c r="J312" s="18">
        <f>IFERROR(ABS('📂 Raw Data'!J312),0)</f>
        <v>56196</v>
      </c>
      <c r="K312" s="18">
        <f>IFERROR(ABS('📂 Raw Data'!K312),0)</f>
        <v>5259</v>
      </c>
      <c r="L312" s="18">
        <f>IFERROR(ABS('📂 Raw Data'!L312),0)</f>
        <v>4725</v>
      </c>
      <c r="M312" s="18">
        <f>IFERROR(ABS('📂 Raw Data'!M312),0)</f>
        <v>5717</v>
      </c>
      <c r="N312" s="18">
        <f t="shared" si="4"/>
        <v>185971</v>
      </c>
      <c r="O312" s="16">
        <f>IFERROR(ABS('📂 Raw Data'!O312),0)</f>
        <v>25</v>
      </c>
      <c r="P312" s="20">
        <f>IFERROR(ABS('📂 Raw Data'!P181),0)</f>
        <v>92</v>
      </c>
      <c r="Q312" s="19" t="str">
        <f>'📂 Raw Data'!Q312</f>
        <v>Below Average</v>
      </c>
      <c r="R312" s="55" t="str">
        <f>'📂 Raw Data'!R312</f>
        <v>Active</v>
      </c>
    </row>
    <row r="313" spans="1:18" ht="18" customHeight="1">
      <c r="A313" s="54" t="str">
        <f>'📂 Raw Data'!A313</f>
        <v>EMP1311</v>
      </c>
      <c r="B313" s="16" t="str">
        <f>PROPER(TRIM('📂 Raw Data'!B313))</f>
        <v>Yash Zafar</v>
      </c>
      <c r="C313" s="16">
        <f>'📂 Raw Data'!C313</f>
        <v>48</v>
      </c>
      <c r="D313" s="16" t="str">
        <f>IF(OR('📂 Raw Data'!D313="M",'📂 Raw Data'!D313="m"),"Male",IF(OR('📂 Raw Data'!D313="F",'📂 Raw Data'!D313="f"),"Female",PROPER('📂 Raw Data'!D313)))</f>
        <v>Female</v>
      </c>
      <c r="E313" s="17" t="str">
        <f>UPPER(TRIM('📂 Raw Data'!E313))</f>
        <v>OPERATIONS</v>
      </c>
      <c r="F313" s="16" t="str">
        <f>PROPER(TRIM('📂 Raw Data'!F313))</f>
        <v>Coordinator</v>
      </c>
      <c r="G313" s="16" t="str">
        <f>IFERROR(IF(ISNUMBER('📂 Raw Data'!G313),TEXT('📂 Raw Data'!G313,"DD-MMM-YYYY"),TEXT(DATEVALUE('📂 Raw Data'!G313),"DD-MMM-YYYY")),"Invalid Date")</f>
        <v>20-Jul-2016</v>
      </c>
      <c r="H313" s="16" t="str">
        <f>PROPER(TRIM('📂 Raw Data'!H313))</f>
        <v>Pune</v>
      </c>
      <c r="I313" s="18">
        <f>IFERROR(IF(ISNUMBER('📂 Raw Data'!I313),ABS('📂 Raw Data'!I313),0),0)</f>
        <v>62555</v>
      </c>
      <c r="J313" s="18">
        <f>IFERROR(ABS('📂 Raw Data'!J313),0)</f>
        <v>24569</v>
      </c>
      <c r="K313" s="18">
        <f>IFERROR(ABS('📂 Raw Data'!K313),0)</f>
        <v>4373</v>
      </c>
      <c r="L313" s="18">
        <f>IFERROR(ABS('📂 Raw Data'!L313),0)</f>
        <v>7112</v>
      </c>
      <c r="M313" s="18">
        <f>IFERROR(ABS('📂 Raw Data'!M313),0)</f>
        <v>2372</v>
      </c>
      <c r="N313" s="18">
        <f t="shared" si="4"/>
        <v>100981</v>
      </c>
      <c r="O313" s="16">
        <f>IFERROR(ABS('📂 Raw Data'!O313),0)</f>
        <v>25</v>
      </c>
      <c r="P313" s="20">
        <f>IFERROR(ABS('📂 Raw Data'!P182),0)</f>
        <v>71</v>
      </c>
      <c r="Q313" s="19" t="str">
        <f>'📂 Raw Data'!Q313</f>
        <v>Excellent</v>
      </c>
      <c r="R313" s="55" t="str">
        <f>'📂 Raw Data'!R313</f>
        <v>Resigned</v>
      </c>
    </row>
    <row r="314" spans="1:18" ht="18" customHeight="1">
      <c r="A314" s="54" t="str">
        <f>'📂 Raw Data'!A314</f>
        <v>EMP1312</v>
      </c>
      <c r="B314" s="16" t="str">
        <f>PROPER(TRIM('📂 Raw Data'!B314))</f>
        <v>Bharat Pandey</v>
      </c>
      <c r="C314" s="16">
        <f>'📂 Raw Data'!C314</f>
        <v>50</v>
      </c>
      <c r="D314" s="16" t="str">
        <f>IF(OR('📂 Raw Data'!D314="M",'📂 Raw Data'!D314="m"),"Male",IF(OR('📂 Raw Data'!D314="F",'📂 Raw Data'!D314="f"),"Female",PROPER('📂 Raw Data'!D314)))</f>
        <v>Female</v>
      </c>
      <c r="E314" s="17" t="str">
        <f>UPPER(TRIM('📂 Raw Data'!E314))</f>
        <v>ENGINEERING</v>
      </c>
      <c r="F314" s="16" t="str">
        <f>PROPER(TRIM('📂 Raw Data'!F314))</f>
        <v>Senior Engineer</v>
      </c>
      <c r="G314" s="16" t="str">
        <f>IFERROR(IF(ISNUMBER('📂 Raw Data'!G314),TEXT('📂 Raw Data'!G314,"DD-MMM-YYYY"),TEXT(DATEVALUE('📂 Raw Data'!G314),"DD-MMM-YYYY")),"Invalid Date")</f>
        <v>11-Apr-2020</v>
      </c>
      <c r="H314" s="16" t="str">
        <f>PROPER(TRIM('📂 Raw Data'!H314))</f>
        <v>Kolkata</v>
      </c>
      <c r="I314" s="18">
        <f>IFERROR(IF(ISNUMBER('📂 Raw Data'!I314),ABS('📂 Raw Data'!I314),0),0)</f>
        <v>66533</v>
      </c>
      <c r="J314" s="18">
        <f>IFERROR(ABS('📂 Raw Data'!J314),0)</f>
        <v>28649</v>
      </c>
      <c r="K314" s="18">
        <f>IFERROR(ABS('📂 Raw Data'!K314),0)</f>
        <v>13639</v>
      </c>
      <c r="L314" s="18">
        <f>IFERROR(ABS('📂 Raw Data'!L314),0)</f>
        <v>2191</v>
      </c>
      <c r="M314" s="18">
        <f>IFERROR(ABS('📂 Raw Data'!M314),0)</f>
        <v>5959</v>
      </c>
      <c r="N314" s="18">
        <f t="shared" si="4"/>
        <v>116971</v>
      </c>
      <c r="O314" s="16">
        <f>IFERROR(ABS('📂 Raw Data'!O314),0)</f>
        <v>25</v>
      </c>
      <c r="P314" s="20">
        <f>IFERROR(ABS('📂 Raw Data'!P183),0)</f>
        <v>77</v>
      </c>
      <c r="Q314" s="19" t="str">
        <f>'📂 Raw Data'!Q314</f>
        <v>Poor</v>
      </c>
      <c r="R314" s="55" t="str">
        <f>'📂 Raw Data'!R314</f>
        <v>Active</v>
      </c>
    </row>
    <row r="315" spans="1:18" ht="18" customHeight="1">
      <c r="A315" s="54" t="str">
        <f>'📂 Raw Data'!A315</f>
        <v>EMP1313</v>
      </c>
      <c r="B315" s="16" t="str">
        <f>PROPER(TRIM('📂 Raw Data'!B315))</f>
        <v>Akash Chopra</v>
      </c>
      <c r="C315" s="16">
        <f>'📂 Raw Data'!C315</f>
        <v>35</v>
      </c>
      <c r="D315" s="16" t="str">
        <f>IF(OR('📂 Raw Data'!D315="M",'📂 Raw Data'!D315="m"),"Male",IF(OR('📂 Raw Data'!D315="F",'📂 Raw Data'!D315="f"),"Female",PROPER('📂 Raw Data'!D315)))</f>
        <v>Male</v>
      </c>
      <c r="E315" s="17" t="str">
        <f>UPPER(TRIM('📂 Raw Data'!E315))</f>
        <v>FINANCE</v>
      </c>
      <c r="F315" s="16" t="str">
        <f>PROPER(TRIM('📂 Raw Data'!F315))</f>
        <v>Auditor</v>
      </c>
      <c r="G315" s="16" t="str">
        <f>IFERROR(IF(ISNUMBER('📂 Raw Data'!G315),TEXT('📂 Raw Data'!G315,"DD-MMM-YYYY"),TEXT(DATEVALUE('📂 Raw Data'!G315),"DD-MMM-YYYY")),"Invalid Date")</f>
        <v>28-Mar-2017</v>
      </c>
      <c r="H315" s="16" t="str">
        <f>PROPER(TRIM('📂 Raw Data'!H315))</f>
        <v>Delhi</v>
      </c>
      <c r="I315" s="18">
        <f>IFERROR(IF(ISNUMBER('📂 Raw Data'!I315),ABS('📂 Raw Data'!I315),0),0)</f>
        <v>28027</v>
      </c>
      <c r="J315" s="18">
        <f>IFERROR(ABS('📂 Raw Data'!J315),0)</f>
        <v>9109</v>
      </c>
      <c r="K315" s="18">
        <f>IFERROR(ABS('📂 Raw Data'!K315),0)</f>
        <v>5844</v>
      </c>
      <c r="L315" s="18">
        <f>IFERROR(ABS('📂 Raw Data'!L315),0)</f>
        <v>5423</v>
      </c>
      <c r="M315" s="18">
        <f>IFERROR(ABS('📂 Raw Data'!M315),0)</f>
        <v>3061</v>
      </c>
      <c r="N315" s="18">
        <f t="shared" si="4"/>
        <v>51464</v>
      </c>
      <c r="O315" s="16">
        <f>IFERROR(ABS('📂 Raw Data'!O315),0)</f>
        <v>26</v>
      </c>
      <c r="P315" s="20">
        <f>IFERROR(ABS('📂 Raw Data'!P184),0)</f>
        <v>75</v>
      </c>
      <c r="Q315" s="19" t="str">
        <f>'📂 Raw Data'!Q315</f>
        <v>Excellent</v>
      </c>
      <c r="R315" s="55" t="str">
        <f>'📂 Raw Data'!R315</f>
        <v>Active</v>
      </c>
    </row>
    <row r="316" spans="1:18" ht="18" customHeight="1">
      <c r="A316" s="54" t="str">
        <f>'📂 Raw Data'!A316</f>
        <v>EMP1314</v>
      </c>
      <c r="B316" s="16" t="str">
        <f>PROPER(TRIM('📂 Raw Data'!B316))</f>
        <v>Bharat Eapen</v>
      </c>
      <c r="C316" s="16">
        <f>'📂 Raw Data'!C316</f>
        <v>41</v>
      </c>
      <c r="D316" s="16" t="str">
        <f>IF(OR('📂 Raw Data'!D316="M",'📂 Raw Data'!D316="m"),"Male",IF(OR('📂 Raw Data'!D316="F",'📂 Raw Data'!D316="f"),"Female",PROPER('📂 Raw Data'!D316)))</f>
        <v>Female</v>
      </c>
      <c r="E316" s="17" t="str">
        <f>UPPER(TRIM('📂 Raw Data'!E316))</f>
        <v>FINANCE</v>
      </c>
      <c r="F316" s="16" t="str">
        <f>PROPER(TRIM('📂 Raw Data'!F316))</f>
        <v>Accountant</v>
      </c>
      <c r="G316" s="16" t="str">
        <f>IFERROR(IF(ISNUMBER('📂 Raw Data'!G316),TEXT('📂 Raw Data'!G316,"DD-MMM-YYYY"),TEXT(DATEVALUE('📂 Raw Data'!G316),"DD-MMM-YYYY")),"Invalid Date")</f>
        <v>17-Jul-2015</v>
      </c>
      <c r="H316" s="16" t="str">
        <f>PROPER(TRIM('📂 Raw Data'!H316))</f>
        <v>Delhi</v>
      </c>
      <c r="I316" s="18">
        <f>IFERROR(IF(ISNUMBER('📂 Raw Data'!I316),ABS('📂 Raw Data'!I316),0),0)</f>
        <v>35911</v>
      </c>
      <c r="J316" s="18">
        <f>IFERROR(ABS('📂 Raw Data'!J316),0)</f>
        <v>11520</v>
      </c>
      <c r="K316" s="18">
        <f>IFERROR(ABS('📂 Raw Data'!K316),0)</f>
        <v>12126</v>
      </c>
      <c r="L316" s="18">
        <f>IFERROR(ABS('📂 Raw Data'!L316),0)</f>
        <v>1272</v>
      </c>
      <c r="M316" s="18">
        <f>IFERROR(ABS('📂 Raw Data'!M316),0)</f>
        <v>1690</v>
      </c>
      <c r="N316" s="18">
        <f t="shared" si="4"/>
        <v>62519</v>
      </c>
      <c r="O316" s="16">
        <f>IFERROR(ABS('📂 Raw Data'!O316),0)</f>
        <v>25</v>
      </c>
      <c r="P316" s="20">
        <f>IFERROR(ABS('📂 Raw Data'!P185),0)</f>
        <v>84</v>
      </c>
      <c r="Q316" s="19" t="str">
        <f>'📂 Raw Data'!Q316</f>
        <v>Below Average</v>
      </c>
      <c r="R316" s="55" t="str">
        <f>'📂 Raw Data'!R316</f>
        <v>Active</v>
      </c>
    </row>
    <row r="317" spans="1:18" ht="18" customHeight="1">
      <c r="A317" s="54" t="str">
        <f>'📂 Raw Data'!A317</f>
        <v>EMP1315</v>
      </c>
      <c r="B317" s="16" t="str">
        <f>PROPER(TRIM('📂 Raw Data'!B317))</f>
        <v>Om Sharma</v>
      </c>
      <c r="C317" s="16">
        <f>'📂 Raw Data'!C317</f>
        <v>50</v>
      </c>
      <c r="D317" s="16" t="str">
        <f>IF(OR('📂 Raw Data'!D317="M",'📂 Raw Data'!D317="m"),"Male",IF(OR('📂 Raw Data'!D317="F",'📂 Raw Data'!D317="f"),"Female",PROPER('📂 Raw Data'!D317)))</f>
        <v>Female</v>
      </c>
      <c r="E317" s="17" t="str">
        <f>UPPER(TRIM('📂 Raw Data'!E317))</f>
        <v>OPERATIONS</v>
      </c>
      <c r="F317" s="16" t="str">
        <f>PROPER(TRIM('📂 Raw Data'!F317))</f>
        <v>Logistics Manager</v>
      </c>
      <c r="G317" s="16" t="str">
        <f>IFERROR(IF(ISNUMBER('📂 Raw Data'!G317),TEXT('📂 Raw Data'!G317,"DD-MMM-YYYY"),TEXT(DATEVALUE('📂 Raw Data'!G317),"DD-MMM-YYYY")),"Invalid Date")</f>
        <v>27-Sep-2017</v>
      </c>
      <c r="H317" s="16" t="str">
        <f>PROPER(TRIM('📂 Raw Data'!H317))</f>
        <v>Delhi</v>
      </c>
      <c r="I317" s="18">
        <f>IFERROR(IF(ISNUMBER('📂 Raw Data'!I317),ABS('📂 Raw Data'!I317),0),0)</f>
        <v>47361</v>
      </c>
      <c r="J317" s="18">
        <f>IFERROR(ABS('📂 Raw Data'!J317),0)</f>
        <v>14479</v>
      </c>
      <c r="K317" s="18">
        <f>IFERROR(ABS('📂 Raw Data'!K317),0)</f>
        <v>12871</v>
      </c>
      <c r="L317" s="18">
        <f>IFERROR(ABS('📂 Raw Data'!L317),0)</f>
        <v>2923</v>
      </c>
      <c r="M317" s="18">
        <f>IFERROR(ABS('📂 Raw Data'!M317),0)</f>
        <v>3664</v>
      </c>
      <c r="N317" s="18">
        <f t="shared" si="4"/>
        <v>81298</v>
      </c>
      <c r="O317" s="16">
        <f>IFERROR(ABS('📂 Raw Data'!O317),0)</f>
        <v>22</v>
      </c>
      <c r="P317" s="20">
        <f>IFERROR(ABS('📂 Raw Data'!P186),0)</f>
        <v>88</v>
      </c>
      <c r="Q317" s="19" t="str">
        <f>'📂 Raw Data'!Q317</f>
        <v>Poor</v>
      </c>
      <c r="R317" s="55" t="str">
        <f>'📂 Raw Data'!R317</f>
        <v>On Leave</v>
      </c>
    </row>
    <row r="318" spans="1:18" ht="18" customHeight="1">
      <c r="A318" s="54" t="str">
        <f>'📂 Raw Data'!A318</f>
        <v>EMP1316</v>
      </c>
      <c r="B318" s="16" t="str">
        <f>PROPER(TRIM('📂 Raw Data'!B318))</f>
        <v>Aarav Bahl</v>
      </c>
      <c r="C318" s="16">
        <f>'📂 Raw Data'!C318</f>
        <v>50</v>
      </c>
      <c r="D318" s="16" t="str">
        <f>IF(OR('📂 Raw Data'!D318="M",'📂 Raw Data'!D318="m"),"Male",IF(OR('📂 Raw Data'!D318="F",'📂 Raw Data'!D318="f"),"Female",PROPER('📂 Raw Data'!D318)))</f>
        <v>Male</v>
      </c>
      <c r="E318" s="17" t="str">
        <f>UPPER(TRIM('📂 Raw Data'!E318))</f>
        <v>MARKETING</v>
      </c>
      <c r="F318" s="16" t="str">
        <f>PROPER(TRIM('📂 Raw Data'!F318))</f>
        <v>Brand Manager</v>
      </c>
      <c r="G318" s="16" t="str">
        <f>IFERROR(IF(ISNUMBER('📂 Raw Data'!G318),TEXT('📂 Raw Data'!G318,"DD-MMM-YYYY"),TEXT(DATEVALUE('📂 Raw Data'!G318),"DD-MMM-YYYY")),"Invalid Date")</f>
        <v>21-Sep-2021</v>
      </c>
      <c r="H318" s="16" t="str">
        <f>PROPER(TRIM('📂 Raw Data'!H318))</f>
        <v>Bangalore</v>
      </c>
      <c r="I318" s="18">
        <f>IFERROR(IF(ISNUMBER('📂 Raw Data'!I318),ABS('📂 Raw Data'!I318),0),0)</f>
        <v>108824</v>
      </c>
      <c r="J318" s="18">
        <f>IFERROR(ABS('📂 Raw Data'!J318),0)</f>
        <v>44265</v>
      </c>
      <c r="K318" s="18">
        <f>IFERROR(ABS('📂 Raw Data'!K318),0)</f>
        <v>7688</v>
      </c>
      <c r="L318" s="18">
        <f>IFERROR(ABS('📂 Raw Data'!L318),0)</f>
        <v>3945</v>
      </c>
      <c r="M318" s="18">
        <f>IFERROR(ABS('📂 Raw Data'!M318),0)</f>
        <v>5420</v>
      </c>
      <c r="N318" s="18">
        <f t="shared" si="4"/>
        <v>170142</v>
      </c>
      <c r="O318" s="16">
        <f>IFERROR(ABS('📂 Raw Data'!O318),0)</f>
        <v>18</v>
      </c>
      <c r="P318" s="20">
        <f>IFERROR(ABS('📂 Raw Data'!P187),0)</f>
        <v>61</v>
      </c>
      <c r="Q318" s="19" t="str">
        <f>'📂 Raw Data'!Q318</f>
        <v>Good</v>
      </c>
      <c r="R318" s="55" t="str">
        <f>'📂 Raw Data'!R318</f>
        <v>Active</v>
      </c>
    </row>
    <row r="319" spans="1:18" ht="18" customHeight="1">
      <c r="A319" s="54" t="str">
        <f>'📂 Raw Data'!A319</f>
        <v>EMP1317</v>
      </c>
      <c r="B319" s="16" t="str">
        <f>PROPER(TRIM('📂 Raw Data'!B319))</f>
        <v>Lokesh Islam</v>
      </c>
      <c r="C319" s="16">
        <f>'📂 Raw Data'!C319</f>
        <v>52</v>
      </c>
      <c r="D319" s="16" t="str">
        <f>IF(OR('📂 Raw Data'!D319="M",'📂 Raw Data'!D319="m"),"Male",IF(OR('📂 Raw Data'!D319="F",'📂 Raw Data'!D319="f"),"Female",PROPER('📂 Raw Data'!D319)))</f>
        <v>Female</v>
      </c>
      <c r="E319" s="17" t="str">
        <f>UPPER(TRIM('📂 Raw Data'!E319))</f>
        <v>HR</v>
      </c>
      <c r="F319" s="16" t="str">
        <f>PROPER(TRIM('📂 Raw Data'!F319))</f>
        <v>Hr Executive</v>
      </c>
      <c r="G319" s="16" t="str">
        <f>IFERROR(IF(ISNUMBER('📂 Raw Data'!G319),TEXT('📂 Raw Data'!G319,"DD-MMM-YYYY"),TEXT(DATEVALUE('📂 Raw Data'!G319),"DD-MMM-YYYY")),"Invalid Date")</f>
        <v>27-Sep-2015</v>
      </c>
      <c r="H319" s="16" t="str">
        <f>PROPER(TRIM('📂 Raw Data'!H319))</f>
        <v>Bangalore</v>
      </c>
      <c r="I319" s="18">
        <f>IFERROR(IF(ISNUMBER('📂 Raw Data'!I319),ABS('📂 Raw Data'!I319),0),0)</f>
        <v>42865</v>
      </c>
      <c r="J319" s="18">
        <f>IFERROR(ABS('📂 Raw Data'!J319),0)</f>
        <v>15808</v>
      </c>
      <c r="K319" s="18">
        <f>IFERROR(ABS('📂 Raw Data'!K319),0)</f>
        <v>9687</v>
      </c>
      <c r="L319" s="18">
        <f>IFERROR(ABS('📂 Raw Data'!L319),0)</f>
        <v>4383</v>
      </c>
      <c r="M319" s="18">
        <f>IFERROR(ABS('📂 Raw Data'!M319),0)</f>
        <v>1068</v>
      </c>
      <c r="N319" s="18">
        <f t="shared" si="4"/>
        <v>73811</v>
      </c>
      <c r="O319" s="16">
        <f>IFERROR(ABS('📂 Raw Data'!O319),0)</f>
        <v>26</v>
      </c>
      <c r="P319" s="20">
        <f>IFERROR(ABS('📂 Raw Data'!P188),0)</f>
        <v>81</v>
      </c>
      <c r="Q319" s="19" t="str">
        <f>'📂 Raw Data'!Q319</f>
        <v>Average</v>
      </c>
      <c r="R319" s="55" t="str">
        <f>'📂 Raw Data'!R319</f>
        <v>Active</v>
      </c>
    </row>
    <row r="320" spans="1:18" ht="18" customHeight="1">
      <c r="A320" s="54" t="str">
        <f>'📂 Raw Data'!A320</f>
        <v>EMP1318</v>
      </c>
      <c r="B320" s="16" t="str">
        <f>PROPER(TRIM('📂 Raw Data'!B320))</f>
        <v>Sanjay Islam</v>
      </c>
      <c r="C320" s="16">
        <f>'📂 Raw Data'!C320</f>
        <v>46</v>
      </c>
      <c r="D320" s="16" t="str">
        <f>IF(OR('📂 Raw Data'!D320="M",'📂 Raw Data'!D320="m"),"Male",IF(OR('📂 Raw Data'!D320="F",'📂 Raw Data'!D320="f"),"Female",PROPER('📂 Raw Data'!D320)))</f>
        <v>Female</v>
      </c>
      <c r="E320" s="17" t="str">
        <f>UPPER(TRIM('📂 Raw Data'!E320))</f>
        <v>MARKETING</v>
      </c>
      <c r="F320" s="16" t="str">
        <f>PROPER(TRIM('📂 Raw Data'!F320))</f>
        <v>Content Writer</v>
      </c>
      <c r="G320" s="16" t="str">
        <f>IFERROR(IF(ISNUMBER('📂 Raw Data'!G320),TEXT('📂 Raw Data'!G320,"DD-MMM-YYYY"),TEXT(DATEVALUE('📂 Raw Data'!G320),"DD-MMM-YYYY")),"Invalid Date")</f>
        <v>12-Sep-2015</v>
      </c>
      <c r="H320" s="16" t="str">
        <f>PROPER(TRIM('📂 Raw Data'!H320))</f>
        <v>Delhi</v>
      </c>
      <c r="I320" s="18">
        <f>IFERROR(IF(ISNUMBER('📂 Raw Data'!I320),ABS('📂 Raw Data'!I320),0),0)</f>
        <v>49716</v>
      </c>
      <c r="J320" s="18">
        <f>IFERROR(ABS('📂 Raw Data'!J320),0)</f>
        <v>19009</v>
      </c>
      <c r="K320" s="18">
        <f>IFERROR(ABS('📂 Raw Data'!K320),0)</f>
        <v>11184</v>
      </c>
      <c r="L320" s="18">
        <f>IFERROR(ABS('📂 Raw Data'!L320),0)</f>
        <v>3580</v>
      </c>
      <c r="M320" s="18">
        <f>IFERROR(ABS('📂 Raw Data'!M320),0)</f>
        <v>4233</v>
      </c>
      <c r="N320" s="18">
        <f t="shared" si="4"/>
        <v>87722</v>
      </c>
      <c r="O320" s="16">
        <f>IFERROR(ABS('📂 Raw Data'!O320),0)</f>
        <v>18</v>
      </c>
      <c r="P320" s="20">
        <f>IFERROR(ABS('📂 Raw Data'!P189),0)</f>
        <v>45</v>
      </c>
      <c r="Q320" s="19" t="str">
        <f>'📂 Raw Data'!Q320</f>
        <v>Good</v>
      </c>
      <c r="R320" s="55" t="str">
        <f>'📂 Raw Data'!R320</f>
        <v>Active</v>
      </c>
    </row>
    <row r="321" spans="1:18" ht="18" customHeight="1">
      <c r="A321" s="54" t="str">
        <f>'📂 Raw Data'!A321</f>
        <v>EMP1319</v>
      </c>
      <c r="B321" s="16" t="str">
        <f>PROPER(TRIM('📂 Raw Data'!B321))</f>
        <v>Rahul Gupta</v>
      </c>
      <c r="C321" s="16">
        <f>'📂 Raw Data'!C321</f>
        <v>40</v>
      </c>
      <c r="D321" s="16" t="str">
        <f>IF(OR('📂 Raw Data'!D321="M",'📂 Raw Data'!D321="m"),"Male",IF(OR('📂 Raw Data'!D321="F",'📂 Raw Data'!D321="f"),"Female",PROPER('📂 Raw Data'!D321)))</f>
        <v>Male</v>
      </c>
      <c r="E321" s="17" t="str">
        <f>UPPER(TRIM('📂 Raw Data'!E321))</f>
        <v>MARKETING</v>
      </c>
      <c r="F321" s="16" t="str">
        <f>PROPER(TRIM('📂 Raw Data'!F321))</f>
        <v>Seo Specialist</v>
      </c>
      <c r="G321" s="16" t="str">
        <f>IFERROR(IF(ISNUMBER('📂 Raw Data'!G321),TEXT('📂 Raw Data'!G321,"DD-MMM-YYYY"),TEXT(DATEVALUE('📂 Raw Data'!G321),"DD-MMM-YYYY")),"Invalid Date")</f>
        <v>24-Nov-2019</v>
      </c>
      <c r="H321" s="16" t="str">
        <f>PROPER(TRIM('📂 Raw Data'!H321))</f>
        <v>Mumbai</v>
      </c>
      <c r="I321" s="18">
        <f>IFERROR(IF(ISNUMBER('📂 Raw Data'!I321),ABS('📂 Raw Data'!I321),0),0)</f>
        <v>94722</v>
      </c>
      <c r="J321" s="18">
        <f>IFERROR(ABS('📂 Raw Data'!J321),0)</f>
        <v>43739</v>
      </c>
      <c r="K321" s="18">
        <f>IFERROR(ABS('📂 Raw Data'!K321),0)</f>
        <v>8765</v>
      </c>
      <c r="L321" s="18">
        <f>IFERROR(ABS('📂 Raw Data'!L321),0)</f>
        <v>1540</v>
      </c>
      <c r="M321" s="18">
        <f>IFERROR(ABS('📂 Raw Data'!M321),0)</f>
        <v>7991</v>
      </c>
      <c r="N321" s="18">
        <f t="shared" si="4"/>
        <v>156757</v>
      </c>
      <c r="O321" s="16">
        <f>IFERROR(ABS('📂 Raw Data'!O321),0)</f>
        <v>16</v>
      </c>
      <c r="P321" s="20">
        <f>IFERROR(ABS('📂 Raw Data'!P190),0)</f>
        <v>86</v>
      </c>
      <c r="Q321" s="19" t="str">
        <f>'📂 Raw Data'!Q321</f>
        <v>Below Average</v>
      </c>
      <c r="R321" s="55" t="str">
        <f>'📂 Raw Data'!R321</f>
        <v>On Leave</v>
      </c>
    </row>
    <row r="322" spans="1:18" ht="18" customHeight="1">
      <c r="A322" s="54" t="str">
        <f>'📂 Raw Data'!A322</f>
        <v>EMP1320</v>
      </c>
      <c r="B322" s="16" t="str">
        <f>PROPER(TRIM('📂 Raw Data'!B322))</f>
        <v>Chirag Walia</v>
      </c>
      <c r="C322" s="16">
        <f>'📂 Raw Data'!C322</f>
        <v>30</v>
      </c>
      <c r="D322" s="16" t="str">
        <f>IF(OR('📂 Raw Data'!D322="M",'📂 Raw Data'!D322="m"),"Male",IF(OR('📂 Raw Data'!D322="F",'📂 Raw Data'!D322="f"),"Female",PROPER('📂 Raw Data'!D322)))</f>
        <v>Female</v>
      </c>
      <c r="E322" s="17" t="str">
        <f>UPPER(TRIM('📂 Raw Data'!E322))</f>
        <v>HR</v>
      </c>
      <c r="F322" s="16" t="str">
        <f>PROPER(TRIM('📂 Raw Data'!F322))</f>
        <v>Training Coordinator</v>
      </c>
      <c r="G322" s="16" t="str">
        <f>IFERROR(IF(ISNUMBER('📂 Raw Data'!G322),TEXT('📂 Raw Data'!G322,"DD-MMM-YYYY"),TEXT(DATEVALUE('📂 Raw Data'!G322),"DD-MMM-YYYY")),"Invalid Date")</f>
        <v>01-Jun-2018</v>
      </c>
      <c r="H322" s="16" t="str">
        <f>PROPER(TRIM('📂 Raw Data'!H322))</f>
        <v>Pune</v>
      </c>
      <c r="I322" s="18">
        <f>IFERROR(IF(ISNUMBER('📂 Raw Data'!I322),ABS('📂 Raw Data'!I322),0),0)</f>
        <v>44942</v>
      </c>
      <c r="J322" s="18">
        <f>IFERROR(ABS('📂 Raw Data'!J322),0)</f>
        <v>13929</v>
      </c>
      <c r="K322" s="18">
        <f>IFERROR(ABS('📂 Raw Data'!K322),0)</f>
        <v>10764</v>
      </c>
      <c r="L322" s="18">
        <f>IFERROR(ABS('📂 Raw Data'!L322),0)</f>
        <v>181</v>
      </c>
      <c r="M322" s="18">
        <f>IFERROR(ABS('📂 Raw Data'!M322),0)</f>
        <v>2523</v>
      </c>
      <c r="N322" s="18">
        <f t="shared" si="4"/>
        <v>72339</v>
      </c>
      <c r="O322" s="16">
        <f>IFERROR(ABS('📂 Raw Data'!O322),0)</f>
        <v>16</v>
      </c>
      <c r="P322" s="20">
        <f>IFERROR(ABS('📂 Raw Data'!P191),0)</f>
        <v>55</v>
      </c>
      <c r="Q322" s="19" t="str">
        <f>'📂 Raw Data'!Q322</f>
        <v>Good</v>
      </c>
      <c r="R322" s="55" t="str">
        <f>'📂 Raw Data'!R322</f>
        <v>Active</v>
      </c>
    </row>
    <row r="323" spans="1:18" ht="18" customHeight="1">
      <c r="A323" s="54" t="str">
        <f>'📂 Raw Data'!A323</f>
        <v>EMP1321</v>
      </c>
      <c r="B323" s="16" t="str">
        <f>PROPER(TRIM('📂 Raw Data'!B323))</f>
        <v>Isha Ahuja</v>
      </c>
      <c r="C323" s="16">
        <f>'📂 Raw Data'!C323</f>
        <v>43</v>
      </c>
      <c r="D323" s="16" t="str">
        <f>IF(OR('📂 Raw Data'!D323="M",'📂 Raw Data'!D323="m"),"Male",IF(OR('📂 Raw Data'!D323="F",'📂 Raw Data'!D323="f"),"Female",PROPER('📂 Raw Data'!D323)))</f>
        <v>Male</v>
      </c>
      <c r="E323" s="17" t="str">
        <f>UPPER(TRIM('📂 Raw Data'!E323))</f>
        <v>ENGINEERING</v>
      </c>
      <c r="F323" s="16" t="str">
        <f>PROPER(TRIM('📂 Raw Data'!F323))</f>
        <v>Senior Engineer</v>
      </c>
      <c r="G323" s="16" t="str">
        <f>IFERROR(IF(ISNUMBER('📂 Raw Data'!G323),TEXT('📂 Raw Data'!G323,"DD-MMM-YYYY"),TEXT(DATEVALUE('📂 Raw Data'!G323),"DD-MMM-YYYY")),"Invalid Date")</f>
        <v>08-Jan-2015</v>
      </c>
      <c r="H323" s="16" t="str">
        <f>PROPER(TRIM('📂 Raw Data'!H323))</f>
        <v>Mumbai</v>
      </c>
      <c r="I323" s="18">
        <f>IFERROR(IF(ISNUMBER('📂 Raw Data'!I323),ABS('📂 Raw Data'!I323),0),0)</f>
        <v>69815</v>
      </c>
      <c r="J323" s="18">
        <f>IFERROR(ABS('📂 Raw Data'!J323),0)</f>
        <v>26812</v>
      </c>
      <c r="K323" s="18">
        <f>IFERROR(ABS('📂 Raw Data'!K323),0)</f>
        <v>14873</v>
      </c>
      <c r="L323" s="18">
        <f>IFERROR(ABS('📂 Raw Data'!L323),0)</f>
        <v>6549</v>
      </c>
      <c r="M323" s="18">
        <f>IFERROR(ABS('📂 Raw Data'!M323),0)</f>
        <v>5082</v>
      </c>
      <c r="N323" s="18">
        <f t="shared" si="4"/>
        <v>123131</v>
      </c>
      <c r="O323" s="16">
        <f>IFERROR(ABS('📂 Raw Data'!O323),0)</f>
        <v>20</v>
      </c>
      <c r="P323" s="20">
        <f>IFERROR(ABS('📂 Raw Data'!P192),0)</f>
        <v>44</v>
      </c>
      <c r="Q323" s="19" t="str">
        <f>'📂 Raw Data'!Q323</f>
        <v>Below Average</v>
      </c>
      <c r="R323" s="55" t="str">
        <f>'📂 Raw Data'!R323</f>
        <v>Active</v>
      </c>
    </row>
    <row r="324" spans="1:18" ht="18" customHeight="1">
      <c r="A324" s="54" t="str">
        <f>'📂 Raw Data'!A324</f>
        <v>EMP1322</v>
      </c>
      <c r="B324" s="16" t="str">
        <f>PROPER(TRIM('📂 Raw Data'!B324))</f>
        <v>Zeba Fernandez</v>
      </c>
      <c r="C324" s="16">
        <f>'📂 Raw Data'!C324</f>
        <v>50</v>
      </c>
      <c r="D324" s="16" t="str">
        <f>IF(OR('📂 Raw Data'!D324="M",'📂 Raw Data'!D324="m"),"Male",IF(OR('📂 Raw Data'!D324="F",'📂 Raw Data'!D324="f"),"Female",PROPER('📂 Raw Data'!D324)))</f>
        <v>Female</v>
      </c>
      <c r="E324" s="17" t="str">
        <f>UPPER(TRIM('📂 Raw Data'!E324))</f>
        <v>ENGINEERING</v>
      </c>
      <c r="F324" s="16" t="str">
        <f>PROPER(TRIM('📂 Raw Data'!F324))</f>
        <v>Qa Engineer</v>
      </c>
      <c r="G324" s="16" t="str">
        <f>IFERROR(IF(ISNUMBER('📂 Raw Data'!G324),TEXT('📂 Raw Data'!G324,"DD-MMM-YYYY"),TEXT(DATEVALUE('📂 Raw Data'!G324),"DD-MMM-YYYY")),"Invalid Date")</f>
        <v>27-Apr-2017</v>
      </c>
      <c r="H324" s="16" t="str">
        <f>PROPER(TRIM('📂 Raw Data'!H324))</f>
        <v>Delhi</v>
      </c>
      <c r="I324" s="18">
        <f>IFERROR(IF(ISNUMBER('📂 Raw Data'!I324),ABS('📂 Raw Data'!I324),0),0)</f>
        <v>57778</v>
      </c>
      <c r="J324" s="18">
        <f>IFERROR(ABS('📂 Raw Data'!J324),0)</f>
        <v>26777</v>
      </c>
      <c r="K324" s="18">
        <f>IFERROR(ABS('📂 Raw Data'!K324),0)</f>
        <v>2206</v>
      </c>
      <c r="L324" s="18">
        <f>IFERROR(ABS('📂 Raw Data'!L324),0)</f>
        <v>999</v>
      </c>
      <c r="M324" s="18">
        <f>IFERROR(ABS('📂 Raw Data'!M324),0)</f>
        <v>7292</v>
      </c>
      <c r="N324" s="18">
        <f t="shared" ref="N324:N352" si="5">SUM(M324,L324,K324,J324,I324,)</f>
        <v>95052</v>
      </c>
      <c r="O324" s="16">
        <f>IFERROR(ABS('📂 Raw Data'!O324),0)</f>
        <v>26</v>
      </c>
      <c r="P324" s="20">
        <f>IFERROR(ABS('📂 Raw Data'!P193),0)</f>
        <v>49</v>
      </c>
      <c r="Q324" s="19" t="str">
        <f>'📂 Raw Data'!Q324</f>
        <v>Below Average</v>
      </c>
      <c r="R324" s="55" t="str">
        <f>'📂 Raw Data'!R324</f>
        <v>On Leave</v>
      </c>
    </row>
    <row r="325" spans="1:18" ht="18" customHeight="1">
      <c r="A325" s="54" t="str">
        <f>'📂 Raw Data'!A325</f>
        <v>EMP1323</v>
      </c>
      <c r="B325" s="16" t="str">
        <f>PROPER(TRIM('📂 Raw Data'!B325))</f>
        <v>Gaurav Vashistha</v>
      </c>
      <c r="C325" s="16">
        <f>'📂 Raw Data'!C325</f>
        <v>55</v>
      </c>
      <c r="D325" s="16" t="str">
        <f>IF(OR('📂 Raw Data'!D325="M",'📂 Raw Data'!D325="m"),"Male",IF(OR('📂 Raw Data'!D325="F",'📂 Raw Data'!D325="f"),"Female",PROPER('📂 Raw Data'!D325)))</f>
        <v>Male</v>
      </c>
      <c r="E325" s="17" t="str">
        <f>UPPER(TRIM('📂 Raw Data'!E325))</f>
        <v>OPERATIONS</v>
      </c>
      <c r="F325" s="16" t="str">
        <f>PROPER(TRIM('📂 Raw Data'!F325))</f>
        <v>Operations Executive</v>
      </c>
      <c r="G325" s="16" t="str">
        <f>IFERROR(IF(ISNUMBER('📂 Raw Data'!G325),TEXT('📂 Raw Data'!G325,"DD-MMM-YYYY"),TEXT(DATEVALUE('📂 Raw Data'!G325),"DD-MMM-YYYY")),"Invalid Date")</f>
        <v>07-Nov-2023</v>
      </c>
      <c r="H325" s="16" t="str">
        <f>PROPER(TRIM('📂 Raw Data'!H325))</f>
        <v>Mumbai</v>
      </c>
      <c r="I325" s="18">
        <f>IFERROR(IF(ISNUMBER('📂 Raw Data'!I325),ABS('📂 Raw Data'!I325),0),0)</f>
        <v>86974</v>
      </c>
      <c r="J325" s="18">
        <f>IFERROR(ABS('📂 Raw Data'!J325),0)</f>
        <v>32861</v>
      </c>
      <c r="K325" s="18">
        <f>IFERROR(ABS('📂 Raw Data'!K325),0)</f>
        <v>7113</v>
      </c>
      <c r="L325" s="18">
        <f>IFERROR(ABS('📂 Raw Data'!L325),0)</f>
        <v>7669</v>
      </c>
      <c r="M325" s="18">
        <f>IFERROR(ABS('📂 Raw Data'!M325),0)</f>
        <v>3646</v>
      </c>
      <c r="N325" s="18">
        <f t="shared" si="5"/>
        <v>138263</v>
      </c>
      <c r="O325" s="16">
        <f>IFERROR(ABS('📂 Raw Data'!O325),0)</f>
        <v>17</v>
      </c>
      <c r="P325" s="20">
        <f>IFERROR(ABS('📂 Raw Data'!P194),0)</f>
        <v>86</v>
      </c>
      <c r="Q325" s="19" t="str">
        <f>'📂 Raw Data'!Q325</f>
        <v>Average</v>
      </c>
      <c r="R325" s="55" t="str">
        <f>'📂 Raw Data'!R325</f>
        <v>Active</v>
      </c>
    </row>
    <row r="326" spans="1:18" ht="18" customHeight="1">
      <c r="A326" s="54" t="str">
        <f>'📂 Raw Data'!A326</f>
        <v>EMP1324</v>
      </c>
      <c r="B326" s="16" t="str">
        <f>PROPER(TRIM('📂 Raw Data'!B326))</f>
        <v>Esha Malhotra</v>
      </c>
      <c r="C326" s="16">
        <f>'📂 Raw Data'!C326</f>
        <v>29</v>
      </c>
      <c r="D326" s="16" t="str">
        <f>IF(OR('📂 Raw Data'!D326="M",'📂 Raw Data'!D326="m"),"Male",IF(OR('📂 Raw Data'!D326="F",'📂 Raw Data'!D326="f"),"Female",PROPER('📂 Raw Data'!D326)))</f>
        <v>Female</v>
      </c>
      <c r="E326" s="17" t="str">
        <f>UPPER(TRIM('📂 Raw Data'!E326))</f>
        <v>SALES</v>
      </c>
      <c r="F326" s="16" t="str">
        <f>PROPER(TRIM('📂 Raw Data'!F326))</f>
        <v>Sales Manager</v>
      </c>
      <c r="G326" s="16" t="str">
        <f>IFERROR(IF(ISNUMBER('📂 Raw Data'!G326),TEXT('📂 Raw Data'!G326,"DD-MMM-YYYY"),TEXT(DATEVALUE('📂 Raw Data'!G326),"DD-MMM-YYYY")),"Invalid Date")</f>
        <v>07-Nov-2015</v>
      </c>
      <c r="H326" s="16" t="str">
        <f>PROPER(TRIM('📂 Raw Data'!H326))</f>
        <v>Chennai</v>
      </c>
      <c r="I326" s="18">
        <f>IFERROR(IF(ISNUMBER('📂 Raw Data'!I326),ABS('📂 Raw Data'!I326),0),0)</f>
        <v>39801</v>
      </c>
      <c r="J326" s="18">
        <f>IFERROR(ABS('📂 Raw Data'!J326),0)</f>
        <v>13819</v>
      </c>
      <c r="K326" s="18">
        <f>IFERROR(ABS('📂 Raw Data'!K326),0)</f>
        <v>9113</v>
      </c>
      <c r="L326" s="18">
        <f>IFERROR(ABS('📂 Raw Data'!L326),0)</f>
        <v>2658</v>
      </c>
      <c r="M326" s="18">
        <f>IFERROR(ABS('📂 Raw Data'!M326),0)</f>
        <v>1123</v>
      </c>
      <c r="N326" s="18">
        <f t="shared" si="5"/>
        <v>66514</v>
      </c>
      <c r="O326" s="16">
        <f>IFERROR(ABS('📂 Raw Data'!O326),0)</f>
        <v>17</v>
      </c>
      <c r="P326" s="20">
        <f>IFERROR(ABS('📂 Raw Data'!P195),0)</f>
        <v>84</v>
      </c>
      <c r="Q326" s="19" t="str">
        <f>'📂 Raw Data'!Q326</f>
        <v>Poor</v>
      </c>
      <c r="R326" s="55" t="str">
        <f>'📂 Raw Data'!R326</f>
        <v>Active</v>
      </c>
    </row>
    <row r="327" spans="1:18" ht="18" customHeight="1">
      <c r="A327" s="54" t="str">
        <f>'📂 Raw Data'!A327</f>
        <v>EMP1325</v>
      </c>
      <c r="B327" s="16" t="str">
        <f>PROPER(TRIM('📂 Raw Data'!B327))</f>
        <v>Riya Upadhyay</v>
      </c>
      <c r="C327" s="16">
        <f>'📂 Raw Data'!C327</f>
        <v>25</v>
      </c>
      <c r="D327" s="16" t="str">
        <f>IF(OR('📂 Raw Data'!D327="M",'📂 Raw Data'!D327="m"),"Male",IF(OR('📂 Raw Data'!D327="F",'📂 Raw Data'!D327="f"),"Female",PROPER('📂 Raw Data'!D327)))</f>
        <v>Male</v>
      </c>
      <c r="E327" s="17" t="str">
        <f>UPPER(TRIM('📂 Raw Data'!E327))</f>
        <v>OPERATIONS</v>
      </c>
      <c r="F327" s="16" t="str">
        <f>PROPER(TRIM('📂 Raw Data'!F327))</f>
        <v>Coordinator</v>
      </c>
      <c r="G327" s="16" t="str">
        <f>IFERROR(IF(ISNUMBER('📂 Raw Data'!G327),TEXT('📂 Raw Data'!G327,"DD-MMM-YYYY"),TEXT(DATEVALUE('📂 Raw Data'!G327),"DD-MMM-YYYY")),"Invalid Date")</f>
        <v>25-Jun-2017</v>
      </c>
      <c r="H327" s="16" t="str">
        <f>PROPER(TRIM('📂 Raw Data'!H327))</f>
        <v>Bangalore</v>
      </c>
      <c r="I327" s="18">
        <f>IFERROR(IF(ISNUMBER('📂 Raw Data'!I327),ABS('📂 Raw Data'!I327),0),0)</f>
        <v>36728</v>
      </c>
      <c r="J327" s="18">
        <f>IFERROR(ABS('📂 Raw Data'!J327),0)</f>
        <v>12845</v>
      </c>
      <c r="K327" s="18">
        <f>IFERROR(ABS('📂 Raw Data'!K327),0)</f>
        <v>10190</v>
      </c>
      <c r="L327" s="18">
        <f>IFERROR(ABS('📂 Raw Data'!L327),0)</f>
        <v>748</v>
      </c>
      <c r="M327" s="18">
        <f>IFERROR(ABS('📂 Raw Data'!M327),0)</f>
        <v>6619</v>
      </c>
      <c r="N327" s="18">
        <f t="shared" si="5"/>
        <v>67130</v>
      </c>
      <c r="O327" s="16">
        <f>IFERROR(ABS('📂 Raw Data'!O327),0)</f>
        <v>24</v>
      </c>
      <c r="P327" s="20">
        <f>IFERROR(ABS('📂 Raw Data'!P196),0)</f>
        <v>91</v>
      </c>
      <c r="Q327" s="19" t="str">
        <f>'📂 Raw Data'!Q327</f>
        <v>Poor</v>
      </c>
      <c r="R327" s="55" t="str">
        <f>'📂 Raw Data'!R327</f>
        <v>On Leave</v>
      </c>
    </row>
    <row r="328" spans="1:18" ht="18" customHeight="1">
      <c r="A328" s="54" t="str">
        <f>'📂 Raw Data'!A328</f>
        <v>EMP1326</v>
      </c>
      <c r="B328" s="16" t="str">
        <f>PROPER(TRIM('📂 Raw Data'!B328))</f>
        <v>Rohit Kumar</v>
      </c>
      <c r="C328" s="16">
        <f>'📂 Raw Data'!C328</f>
        <v>23</v>
      </c>
      <c r="D328" s="16" t="str">
        <f>IF(OR('📂 Raw Data'!D328="M",'📂 Raw Data'!D328="m"),"Male",IF(OR('📂 Raw Data'!D328="F",'📂 Raw Data'!D328="f"),"Female",PROPER('📂 Raw Data'!D328)))</f>
        <v>Male</v>
      </c>
      <c r="E328" s="17" t="str">
        <f>UPPER(TRIM('📂 Raw Data'!E328))</f>
        <v>ENGINEERING</v>
      </c>
      <c r="F328" s="16" t="str">
        <f>PROPER(TRIM('📂 Raw Data'!F328))</f>
        <v>Senior Engineer</v>
      </c>
      <c r="G328" s="16" t="str">
        <f>IFERROR(IF(ISNUMBER('📂 Raw Data'!G328),TEXT('📂 Raw Data'!G328,"DD-MMM-YYYY"),TEXT(DATEVALUE('📂 Raw Data'!G328),"DD-MMM-YYYY")),"Invalid Date")</f>
        <v>11-Apr-2022</v>
      </c>
      <c r="H328" s="16" t="str">
        <f>PROPER(TRIM('📂 Raw Data'!H328))</f>
        <v>Pune</v>
      </c>
      <c r="I328" s="18">
        <f>IFERROR(IF(ISNUMBER('📂 Raw Data'!I328),ABS('📂 Raw Data'!I328),0),0)</f>
        <v>0</v>
      </c>
      <c r="J328" s="18">
        <f>IFERROR(ABS('📂 Raw Data'!J328),0)</f>
        <v>44940</v>
      </c>
      <c r="K328" s="18">
        <f>IFERROR(ABS('📂 Raw Data'!K328),0)</f>
        <v>14397</v>
      </c>
      <c r="L328" s="18">
        <f>IFERROR(ABS('📂 Raw Data'!L328),0)</f>
        <v>2845</v>
      </c>
      <c r="M328" s="18">
        <f>IFERROR(ABS('📂 Raw Data'!M328),0)</f>
        <v>7598</v>
      </c>
      <c r="N328" s="18">
        <f t="shared" si="5"/>
        <v>69780</v>
      </c>
      <c r="O328" s="16">
        <f>IFERROR(ABS('📂 Raw Data'!O328),0)</f>
        <v>22</v>
      </c>
      <c r="P328" s="20">
        <f>IFERROR(ABS('📂 Raw Data'!P197),0)</f>
        <v>56</v>
      </c>
      <c r="Q328" s="19" t="str">
        <f>'📂 Raw Data'!Q328</f>
        <v>Good</v>
      </c>
      <c r="R328" s="55" t="str">
        <f>'📂 Raw Data'!R328</f>
        <v>Active</v>
      </c>
    </row>
    <row r="329" spans="1:18" ht="18" customHeight="1">
      <c r="A329" s="54" t="str">
        <f>'📂 Raw Data'!A329</f>
        <v>EMP1327</v>
      </c>
      <c r="B329" s="16" t="str">
        <f>PROPER(TRIM('📂 Raw Data'!B329))</f>
        <v>Shreya Bhatia</v>
      </c>
      <c r="C329" s="16">
        <f>'📂 Raw Data'!C329</f>
        <v>42</v>
      </c>
      <c r="D329" s="16" t="str">
        <f>IF(OR('📂 Raw Data'!D329="M",'📂 Raw Data'!D329="m"),"Male",IF(OR('📂 Raw Data'!D329="F",'📂 Raw Data'!D329="f"),"Female",PROPER('📂 Raw Data'!D329)))</f>
        <v>Female</v>
      </c>
      <c r="E329" s="17" t="str">
        <f>UPPER(TRIM('📂 Raw Data'!E329))</f>
        <v>HR</v>
      </c>
      <c r="F329" s="16" t="str">
        <f>PROPER(TRIM('📂 Raw Data'!F329))</f>
        <v>Hr Executive</v>
      </c>
      <c r="G329" s="16" t="str">
        <f>IFERROR(IF(ISNUMBER('📂 Raw Data'!G329),TEXT('📂 Raw Data'!G329,"DD-MMM-YYYY"),TEXT(DATEVALUE('📂 Raw Data'!G329),"DD-MMM-YYYY")),"Invalid Date")</f>
        <v>15-Dec-2022</v>
      </c>
      <c r="H329" s="16" t="str">
        <f>PROPER(TRIM('📂 Raw Data'!H329))</f>
        <v>Pune</v>
      </c>
      <c r="I329" s="18">
        <f>IFERROR(IF(ISNUMBER('📂 Raw Data'!I329),ABS('📂 Raw Data'!I329),0),0)</f>
        <v>98272</v>
      </c>
      <c r="J329" s="18">
        <f>IFERROR(ABS('📂 Raw Data'!J329),0)</f>
        <v>35274</v>
      </c>
      <c r="K329" s="18">
        <f>IFERROR(ABS('📂 Raw Data'!K329),0)</f>
        <v>13420</v>
      </c>
      <c r="L329" s="18">
        <f>IFERROR(ABS('📂 Raw Data'!L329),0)</f>
        <v>4014</v>
      </c>
      <c r="M329" s="18">
        <f>IFERROR(ABS('📂 Raw Data'!M329),0)</f>
        <v>2554</v>
      </c>
      <c r="N329" s="18">
        <f t="shared" si="5"/>
        <v>153534</v>
      </c>
      <c r="O329" s="16">
        <f>IFERROR(ABS('📂 Raw Data'!O329),0)</f>
        <v>24</v>
      </c>
      <c r="P329" s="20">
        <f>IFERROR(ABS('📂 Raw Data'!P198),0)</f>
        <v>91</v>
      </c>
      <c r="Q329" s="19" t="str">
        <f>'📂 Raw Data'!Q329</f>
        <v>Poor</v>
      </c>
      <c r="R329" s="55" t="str">
        <f>'📂 Raw Data'!R329</f>
        <v>Active</v>
      </c>
    </row>
    <row r="330" spans="1:18" ht="18" customHeight="1">
      <c r="A330" s="54" t="str">
        <f>'📂 Raw Data'!A330</f>
        <v>EMP1328</v>
      </c>
      <c r="B330" s="16" t="str">
        <f>PROPER(TRIM('📂 Raw Data'!B330))</f>
        <v>Deepa Doshi</v>
      </c>
      <c r="C330" s="16">
        <f>'📂 Raw Data'!C330</f>
        <v>33</v>
      </c>
      <c r="D330" s="16" t="str">
        <f>IF(OR('📂 Raw Data'!D330="M",'📂 Raw Data'!D330="m"),"Male",IF(OR('📂 Raw Data'!D330="F",'📂 Raw Data'!D330="f"),"Female",PROPER('📂 Raw Data'!D330)))</f>
        <v>Female</v>
      </c>
      <c r="E330" s="17" t="str">
        <f>UPPER(TRIM('📂 Raw Data'!E330))</f>
        <v>SALES</v>
      </c>
      <c r="F330" s="16" t="str">
        <f>PROPER(TRIM('📂 Raw Data'!F330))</f>
        <v>Sales Executive</v>
      </c>
      <c r="G330" s="16" t="str">
        <f>IFERROR(IF(ISNUMBER('📂 Raw Data'!G330),TEXT('📂 Raw Data'!G330,"DD-MMM-YYYY"),TEXT(DATEVALUE('📂 Raw Data'!G330),"DD-MMM-YYYY")),"Invalid Date")</f>
        <v>15-Mar-2023</v>
      </c>
      <c r="H330" s="16" t="str">
        <f>PROPER(TRIM('📂 Raw Data'!H330))</f>
        <v>Mumbai</v>
      </c>
      <c r="I330" s="18">
        <f>IFERROR(IF(ISNUMBER('📂 Raw Data'!I330),ABS('📂 Raw Data'!I330),0),0)</f>
        <v>63754</v>
      </c>
      <c r="J330" s="18">
        <f>IFERROR(ABS('📂 Raw Data'!J330),0)</f>
        <v>29574</v>
      </c>
      <c r="K330" s="18">
        <f>IFERROR(ABS('📂 Raw Data'!K330),0)</f>
        <v>10873</v>
      </c>
      <c r="L330" s="18">
        <f>IFERROR(ABS('📂 Raw Data'!L330),0)</f>
        <v>3007</v>
      </c>
      <c r="M330" s="18">
        <f>IFERROR(ABS('📂 Raw Data'!M330),0)</f>
        <v>4719</v>
      </c>
      <c r="N330" s="18">
        <f t="shared" si="5"/>
        <v>111927</v>
      </c>
      <c r="O330" s="16">
        <f>IFERROR(ABS('📂 Raw Data'!O330),0)</f>
        <v>15</v>
      </c>
      <c r="P330" s="20">
        <f>IFERROR(ABS('📂 Raw Data'!P199),0)</f>
        <v>42</v>
      </c>
      <c r="Q330" s="19" t="str">
        <f>'📂 Raw Data'!Q330</f>
        <v>Poor</v>
      </c>
      <c r="R330" s="55" t="str">
        <f>'📂 Raw Data'!R330</f>
        <v>Resigned</v>
      </c>
    </row>
    <row r="331" spans="1:18" ht="18" customHeight="1">
      <c r="A331" s="54" t="str">
        <f>'📂 Raw Data'!A331</f>
        <v>EMP1329</v>
      </c>
      <c r="B331" s="16" t="str">
        <f>PROPER(TRIM('📂 Raw Data'!B331))</f>
        <v>Chetan Dixit</v>
      </c>
      <c r="C331" s="16">
        <f>'📂 Raw Data'!C331</f>
        <v>42</v>
      </c>
      <c r="D331" s="16" t="str">
        <f>IF(OR('📂 Raw Data'!D331="M",'📂 Raw Data'!D331="m"),"Male",IF(OR('📂 Raw Data'!D331="F",'📂 Raw Data'!D331="f"),"Female",PROPER('📂 Raw Data'!D331)))</f>
        <v>Female</v>
      </c>
      <c r="E331" s="17" t="str">
        <f>UPPER(TRIM('📂 Raw Data'!E331))</f>
        <v>SALES</v>
      </c>
      <c r="F331" s="16" t="str">
        <f>PROPER(TRIM('📂 Raw Data'!F331))</f>
        <v>Sales Manager</v>
      </c>
      <c r="G331" s="16" t="str">
        <f>IFERROR(IF(ISNUMBER('📂 Raw Data'!G331),TEXT('📂 Raw Data'!G331,"DD-MMM-YYYY"),TEXT(DATEVALUE('📂 Raw Data'!G331),"DD-MMM-YYYY")),"Invalid Date")</f>
        <v>18-Nov-2016</v>
      </c>
      <c r="H331" s="16" t="str">
        <f>PROPER(TRIM('📂 Raw Data'!H331))</f>
        <v>Chennai</v>
      </c>
      <c r="I331" s="18">
        <f>IFERROR(IF(ISNUMBER('📂 Raw Data'!I331),ABS('📂 Raw Data'!I331),0),0)</f>
        <v>75789</v>
      </c>
      <c r="J331" s="18">
        <f>IFERROR(ABS('📂 Raw Data'!J331),0)</f>
        <v>25615</v>
      </c>
      <c r="K331" s="18">
        <f>IFERROR(ABS('📂 Raw Data'!K331),0)</f>
        <v>13193</v>
      </c>
      <c r="L331" s="18">
        <f>IFERROR(ABS('📂 Raw Data'!L331),0)</f>
        <v>4075</v>
      </c>
      <c r="M331" s="18">
        <f>IFERROR(ABS('📂 Raw Data'!M331),0)</f>
        <v>7272</v>
      </c>
      <c r="N331" s="18">
        <f t="shared" si="5"/>
        <v>125944</v>
      </c>
      <c r="O331" s="16">
        <f>IFERROR(ABS('📂 Raw Data'!O331),0)</f>
        <v>23</v>
      </c>
      <c r="P331" s="20">
        <f>IFERROR(ABS('📂 Raw Data'!P200),0)</f>
        <v>69</v>
      </c>
      <c r="Q331" s="19" t="str">
        <f>'📂 Raw Data'!Q331</f>
        <v>Excellent</v>
      </c>
      <c r="R331" s="55" t="str">
        <f>'📂 Raw Data'!R331</f>
        <v>On Leave</v>
      </c>
    </row>
    <row r="332" spans="1:18" ht="18" customHeight="1">
      <c r="A332" s="54" t="str">
        <f>'📂 Raw Data'!A332</f>
        <v>EMP1330</v>
      </c>
      <c r="B332" s="16" t="str">
        <f>PROPER(TRIM('📂 Raw Data'!B332))</f>
        <v>Jyoti Pandey</v>
      </c>
      <c r="C332" s="16">
        <f>'📂 Raw Data'!C332</f>
        <v>53</v>
      </c>
      <c r="D332" s="16" t="str">
        <f>IF(OR('📂 Raw Data'!D332="M",'📂 Raw Data'!D332="m"),"Male",IF(OR('📂 Raw Data'!D332="F",'📂 Raw Data'!D332="f"),"Female",PROPER('📂 Raw Data'!D332)))</f>
        <v>Female</v>
      </c>
      <c r="E332" s="17" t="str">
        <f>UPPER(TRIM('📂 Raw Data'!E332))</f>
        <v>MARKETING</v>
      </c>
      <c r="F332" s="16" t="str">
        <f>PROPER(TRIM('📂 Raw Data'!F332))</f>
        <v>Marketing Executive</v>
      </c>
      <c r="G332" s="16" t="str">
        <f>IFERROR(IF(ISNUMBER('📂 Raw Data'!G332),TEXT('📂 Raw Data'!G332,"DD-MMM-YYYY"),TEXT(DATEVALUE('📂 Raw Data'!G332),"DD-MMM-YYYY")),"Invalid Date")</f>
        <v>06-Mar-2015</v>
      </c>
      <c r="H332" s="16" t="str">
        <f>PROPER(TRIM('📂 Raw Data'!H332))</f>
        <v>Hyderabad</v>
      </c>
      <c r="I332" s="18">
        <f>IFERROR(IF(ISNUMBER('📂 Raw Data'!I332),ABS('📂 Raw Data'!I332),0),0)</f>
        <v>29099</v>
      </c>
      <c r="J332" s="18">
        <f>IFERROR(ABS('📂 Raw Data'!J332),0)</f>
        <v>9906</v>
      </c>
      <c r="K332" s="18">
        <f>IFERROR(ABS('📂 Raw Data'!K332),0)</f>
        <v>9952</v>
      </c>
      <c r="L332" s="18">
        <f>IFERROR(ABS('📂 Raw Data'!L332),0)</f>
        <v>1569</v>
      </c>
      <c r="M332" s="18">
        <f>IFERROR(ABS('📂 Raw Data'!M332),0)</f>
        <v>1808</v>
      </c>
      <c r="N332" s="18">
        <f t="shared" si="5"/>
        <v>52334</v>
      </c>
      <c r="O332" s="16">
        <f>IFERROR(ABS('📂 Raw Data'!O332),0)</f>
        <v>15</v>
      </c>
      <c r="P332" s="20">
        <f>IFERROR(ABS('📂 Raw Data'!P201),0)</f>
        <v>40</v>
      </c>
      <c r="Q332" s="19" t="str">
        <f>'📂 Raw Data'!Q332</f>
        <v>Average</v>
      </c>
      <c r="R332" s="55" t="str">
        <f>'📂 Raw Data'!R332</f>
        <v>Resigned</v>
      </c>
    </row>
    <row r="333" spans="1:18" ht="18" customHeight="1">
      <c r="A333" s="54" t="str">
        <f>'📂 Raw Data'!A333</f>
        <v>EMP1331</v>
      </c>
      <c r="B333" s="16" t="str">
        <f>PROPER(TRIM('📂 Raw Data'!B333))</f>
        <v>Aarav Subramaniam</v>
      </c>
      <c r="C333" s="16">
        <f>'📂 Raw Data'!C333</f>
        <v>45</v>
      </c>
      <c r="D333" s="16" t="str">
        <f>IF(OR('📂 Raw Data'!D333="M",'📂 Raw Data'!D333="m"),"Male",IF(OR('📂 Raw Data'!D333="F",'📂 Raw Data'!D333="f"),"Female",PROPER('📂 Raw Data'!D333)))</f>
        <v>Male</v>
      </c>
      <c r="E333" s="17" t="str">
        <f>UPPER(TRIM('📂 Raw Data'!E333))</f>
        <v>ENGINEERING</v>
      </c>
      <c r="F333" s="16" t="str">
        <f>PROPER(TRIM('📂 Raw Data'!F333))</f>
        <v>Tech Lead</v>
      </c>
      <c r="G333" s="16" t="str">
        <f>IFERROR(IF(ISNUMBER('📂 Raw Data'!G333),TEXT('📂 Raw Data'!G333,"DD-MMM-YYYY"),TEXT(DATEVALUE('📂 Raw Data'!G333),"DD-MMM-YYYY")),"Invalid Date")</f>
        <v>23-Oct-2018</v>
      </c>
      <c r="H333" s="16" t="str">
        <f>PROPER(TRIM('📂 Raw Data'!H333))</f>
        <v>Hyderabad</v>
      </c>
      <c r="I333" s="18">
        <f>IFERROR(IF(ISNUMBER('📂 Raw Data'!I333),ABS('📂 Raw Data'!I333),0),0)</f>
        <v>34289</v>
      </c>
      <c r="J333" s="18">
        <f>IFERROR(ABS('📂 Raw Data'!J333),0)</f>
        <v>10376</v>
      </c>
      <c r="K333" s="18">
        <f>IFERROR(ABS('📂 Raw Data'!K333),0)</f>
        <v>5419</v>
      </c>
      <c r="L333" s="18">
        <f>IFERROR(ABS('📂 Raw Data'!L333),0)</f>
        <v>5371</v>
      </c>
      <c r="M333" s="18">
        <f>IFERROR(ABS('📂 Raw Data'!M333),0)</f>
        <v>5025</v>
      </c>
      <c r="N333" s="18">
        <f t="shared" si="5"/>
        <v>60480</v>
      </c>
      <c r="O333" s="16">
        <f>IFERROR(ABS('📂 Raw Data'!O333),0)</f>
        <v>16</v>
      </c>
      <c r="P333" s="20">
        <f>IFERROR(ABS('📂 Raw Data'!P202),0)</f>
        <v>66</v>
      </c>
      <c r="Q333" s="19" t="str">
        <f>'📂 Raw Data'!Q333</f>
        <v>Average</v>
      </c>
      <c r="R333" s="55" t="str">
        <f>'📂 Raw Data'!R333</f>
        <v>On Leave</v>
      </c>
    </row>
    <row r="334" spans="1:18" ht="18" customHeight="1">
      <c r="A334" s="54" t="str">
        <f>'📂 Raw Data'!A334</f>
        <v>EMP1332</v>
      </c>
      <c r="B334" s="16" t="str">
        <f>PROPER(TRIM('📂 Raw Data'!B334))</f>
        <v>Qasim Fernandez</v>
      </c>
      <c r="C334" s="16">
        <f>'📂 Raw Data'!C334</f>
        <v>36</v>
      </c>
      <c r="D334" s="16" t="str">
        <f>IF(OR('📂 Raw Data'!D334="M",'📂 Raw Data'!D334="m"),"Male",IF(OR('📂 Raw Data'!D334="F",'📂 Raw Data'!D334="f"),"Female",PROPER('📂 Raw Data'!D334)))</f>
        <v>Male</v>
      </c>
      <c r="E334" s="17" t="str">
        <f>UPPER(TRIM('📂 Raw Data'!E334))</f>
        <v>OPERATIONS</v>
      </c>
      <c r="F334" s="16" t="str">
        <f>PROPER(TRIM('📂 Raw Data'!F334))</f>
        <v>Operations Executive</v>
      </c>
      <c r="G334" s="16" t="str">
        <f>IFERROR(IF(ISNUMBER('📂 Raw Data'!G334),TEXT('📂 Raw Data'!G334,"DD-MMM-YYYY"),TEXT(DATEVALUE('📂 Raw Data'!G334),"DD-MMM-YYYY")),"Invalid Date")</f>
        <v>02-Sep-2019</v>
      </c>
      <c r="H334" s="16" t="str">
        <f>PROPER(TRIM('📂 Raw Data'!H334))</f>
        <v>Hyderabad</v>
      </c>
      <c r="I334" s="18">
        <f>IFERROR(IF(ISNUMBER('📂 Raw Data'!I334),ABS('📂 Raw Data'!I334),0),0)</f>
        <v>34225</v>
      </c>
      <c r="J334" s="18">
        <f>IFERROR(ABS('📂 Raw Data'!J334),0)</f>
        <v>15979</v>
      </c>
      <c r="K334" s="18">
        <f>IFERROR(ABS('📂 Raw Data'!K334),0)</f>
        <v>3276</v>
      </c>
      <c r="L334" s="18">
        <f>IFERROR(ABS('📂 Raw Data'!L334),0)</f>
        <v>7738</v>
      </c>
      <c r="M334" s="18">
        <f>IFERROR(ABS('📂 Raw Data'!M334),0)</f>
        <v>2768</v>
      </c>
      <c r="N334" s="18">
        <f t="shared" si="5"/>
        <v>63986</v>
      </c>
      <c r="O334" s="16">
        <f>IFERROR(ABS('📂 Raw Data'!O334),0)</f>
        <v>23</v>
      </c>
      <c r="P334" s="20">
        <f>IFERROR(ABS('📂 Raw Data'!P203),0)</f>
        <v>94</v>
      </c>
      <c r="Q334" s="19" t="str">
        <f>'📂 Raw Data'!Q334</f>
        <v>Poor</v>
      </c>
      <c r="R334" s="55" t="str">
        <f>'📂 Raw Data'!R334</f>
        <v>Active</v>
      </c>
    </row>
    <row r="335" spans="1:18" ht="18" customHeight="1">
      <c r="A335" s="54" t="str">
        <f>'📂 Raw Data'!A335</f>
        <v>EMP1333</v>
      </c>
      <c r="B335" s="16" t="str">
        <f>PROPER(TRIM('📂 Raw Data'!B335))</f>
        <v>Meera Sharma</v>
      </c>
      <c r="C335" s="16">
        <f>'📂 Raw Data'!C335</f>
        <v>49</v>
      </c>
      <c r="D335" s="16" t="str">
        <f>IF(OR('📂 Raw Data'!D335="M",'📂 Raw Data'!D335="m"),"Male",IF(OR('📂 Raw Data'!D335="F",'📂 Raw Data'!D335="f"),"Female",PROPER('📂 Raw Data'!D335)))</f>
        <v>Female</v>
      </c>
      <c r="E335" s="17" t="str">
        <f>UPPER(TRIM('📂 Raw Data'!E335))</f>
        <v>OPERATIONS</v>
      </c>
      <c r="F335" s="16" t="str">
        <f>PROPER(TRIM('📂 Raw Data'!F335))</f>
        <v>Logistics Manager</v>
      </c>
      <c r="G335" s="16" t="str">
        <f>IFERROR(IF(ISNUMBER('📂 Raw Data'!G335),TEXT('📂 Raw Data'!G335,"DD-MMM-YYYY"),TEXT(DATEVALUE('📂 Raw Data'!G335),"DD-MMM-YYYY")),"Invalid Date")</f>
        <v>24-Sep-2017</v>
      </c>
      <c r="H335" s="16" t="str">
        <f>PROPER(TRIM('📂 Raw Data'!H335))</f>
        <v>Mumbai</v>
      </c>
      <c r="I335" s="18">
        <f>IFERROR(IF(ISNUMBER('📂 Raw Data'!I335),ABS('📂 Raw Data'!I335),0),0)</f>
        <v>98156</v>
      </c>
      <c r="J335" s="18">
        <f>IFERROR(ABS('📂 Raw Data'!J335),0)</f>
        <v>37597</v>
      </c>
      <c r="K335" s="18">
        <f>IFERROR(ABS('📂 Raw Data'!K335),0)</f>
        <v>3728</v>
      </c>
      <c r="L335" s="18">
        <f>IFERROR(ABS('📂 Raw Data'!L335),0)</f>
        <v>6277</v>
      </c>
      <c r="M335" s="18">
        <f>IFERROR(ABS('📂 Raw Data'!M335),0)</f>
        <v>6231</v>
      </c>
      <c r="N335" s="18">
        <f t="shared" si="5"/>
        <v>151989</v>
      </c>
      <c r="O335" s="16">
        <f>IFERROR(ABS('📂 Raw Data'!O335),0)</f>
        <v>24</v>
      </c>
      <c r="P335" s="20">
        <f>IFERROR(ABS('📂 Raw Data'!P204),0)</f>
        <v>60</v>
      </c>
      <c r="Q335" s="19" t="str">
        <f>'📂 Raw Data'!Q335</f>
        <v>Poor</v>
      </c>
      <c r="R335" s="55" t="str">
        <f>'📂 Raw Data'!R335</f>
        <v>Active</v>
      </c>
    </row>
    <row r="336" spans="1:18" ht="18" customHeight="1">
      <c r="A336" s="54" t="str">
        <f>'📂 Raw Data'!A336</f>
        <v>EMP1334</v>
      </c>
      <c r="B336" s="16" t="str">
        <f>PROPER(TRIM('📂 Raw Data'!B336))</f>
        <v>Yash Reddy</v>
      </c>
      <c r="C336" s="16">
        <f>'📂 Raw Data'!C336</f>
        <v>42</v>
      </c>
      <c r="D336" s="16" t="str">
        <f>IF(OR('📂 Raw Data'!D336="M",'📂 Raw Data'!D336="m"),"Male",IF(OR('📂 Raw Data'!D336="F",'📂 Raw Data'!D336="f"),"Female",PROPER('📂 Raw Data'!D336)))</f>
        <v>Female</v>
      </c>
      <c r="E336" s="17" t="str">
        <f>UPPER(TRIM('📂 Raw Data'!E336))</f>
        <v>FINANCE</v>
      </c>
      <c r="F336" s="16" t="str">
        <f>PROPER(TRIM('📂 Raw Data'!F336))</f>
        <v>Finance Manager</v>
      </c>
      <c r="G336" s="16" t="str">
        <f>IFERROR(IF(ISNUMBER('📂 Raw Data'!G336),TEXT('📂 Raw Data'!G336,"DD-MMM-YYYY"),TEXT(DATEVALUE('📂 Raw Data'!G336),"DD-MMM-YYYY")),"Invalid Date")</f>
        <v>20-Sep-2017</v>
      </c>
      <c r="H336" s="16" t="str">
        <f>PROPER(TRIM('📂 Raw Data'!H336))</f>
        <v>Hyderabad</v>
      </c>
      <c r="I336" s="18">
        <f>IFERROR(IF(ISNUMBER('📂 Raw Data'!I336),ABS('📂 Raw Data'!I336),0),0)</f>
        <v>83066</v>
      </c>
      <c r="J336" s="18">
        <f>IFERROR(ABS('📂 Raw Data'!J336),0)</f>
        <v>40429</v>
      </c>
      <c r="K336" s="18">
        <f>IFERROR(ABS('📂 Raw Data'!K336),0)</f>
        <v>7163</v>
      </c>
      <c r="L336" s="18">
        <f>IFERROR(ABS('📂 Raw Data'!L336),0)</f>
        <v>4506</v>
      </c>
      <c r="M336" s="18">
        <f>IFERROR(ABS('📂 Raw Data'!M336),0)</f>
        <v>3659</v>
      </c>
      <c r="N336" s="18">
        <f t="shared" si="5"/>
        <v>138823</v>
      </c>
      <c r="O336" s="16">
        <f>IFERROR(ABS('📂 Raw Data'!O336),0)</f>
        <v>20</v>
      </c>
      <c r="P336" s="20">
        <f>IFERROR(ABS('📂 Raw Data'!P205),0)</f>
        <v>78</v>
      </c>
      <c r="Q336" s="19" t="str">
        <f>'📂 Raw Data'!Q336</f>
        <v>Good</v>
      </c>
      <c r="R336" s="55" t="str">
        <f>'📂 Raw Data'!R336</f>
        <v>Active</v>
      </c>
    </row>
    <row r="337" spans="1:18" ht="18" customHeight="1">
      <c r="A337" s="54" t="str">
        <f>'📂 Raw Data'!A337</f>
        <v>EMP1335</v>
      </c>
      <c r="B337" s="16" t="str">
        <f>PROPER(TRIM('📂 Raw Data'!B337))</f>
        <v>Divya Qadir</v>
      </c>
      <c r="C337" s="16">
        <f>'📂 Raw Data'!C337</f>
        <v>41</v>
      </c>
      <c r="D337" s="16" t="str">
        <f>IF(OR('📂 Raw Data'!D337="M",'📂 Raw Data'!D337="m"),"Male",IF(OR('📂 Raw Data'!D337="F",'📂 Raw Data'!D337="f"),"Female",PROPER('📂 Raw Data'!D337)))</f>
        <v>Male</v>
      </c>
      <c r="E337" s="17" t="str">
        <f>UPPER(TRIM('📂 Raw Data'!E337))</f>
        <v>FINANCE</v>
      </c>
      <c r="F337" s="16" t="str">
        <f>PROPER(TRIM('📂 Raw Data'!F337))</f>
        <v>Finance Manager</v>
      </c>
      <c r="G337" s="16" t="str">
        <f>IFERROR(IF(ISNUMBER('📂 Raw Data'!G337),TEXT('📂 Raw Data'!G337,"DD-MMM-YYYY"),TEXT(DATEVALUE('📂 Raw Data'!G337),"DD-MMM-YYYY")),"Invalid Date")</f>
        <v>15-Aug-2020</v>
      </c>
      <c r="H337" s="16" t="str">
        <f>PROPER(TRIM('📂 Raw Data'!H337))</f>
        <v>Mumbai</v>
      </c>
      <c r="I337" s="18">
        <f>IFERROR(IF(ISNUMBER('📂 Raw Data'!I337),ABS('📂 Raw Data'!I337),0),0)</f>
        <v>77047</v>
      </c>
      <c r="J337" s="18">
        <f>IFERROR(ABS('📂 Raw Data'!J337),0)</f>
        <v>23117</v>
      </c>
      <c r="K337" s="18">
        <f>IFERROR(ABS('📂 Raw Data'!K337),0)</f>
        <v>2567</v>
      </c>
      <c r="L337" s="18">
        <f>IFERROR(ABS('📂 Raw Data'!L337),0)</f>
        <v>2330</v>
      </c>
      <c r="M337" s="18">
        <f>IFERROR(ABS('📂 Raw Data'!M337),0)</f>
        <v>5880</v>
      </c>
      <c r="N337" s="18">
        <f t="shared" si="5"/>
        <v>110941</v>
      </c>
      <c r="O337" s="16">
        <f>IFERROR(ABS('📂 Raw Data'!O337),0)</f>
        <v>15</v>
      </c>
      <c r="P337" s="20">
        <f>IFERROR(ABS('📂 Raw Data'!P206),0)</f>
        <v>75</v>
      </c>
      <c r="Q337" s="19" t="str">
        <f>'📂 Raw Data'!Q337</f>
        <v>Average</v>
      </c>
      <c r="R337" s="55" t="str">
        <f>'📂 Raw Data'!R337</f>
        <v>Active</v>
      </c>
    </row>
    <row r="338" spans="1:18" ht="18" customHeight="1">
      <c r="A338" s="54" t="str">
        <f>'📂 Raw Data'!A338</f>
        <v>EMP1336</v>
      </c>
      <c r="B338" s="16" t="str">
        <f>PROPER(TRIM('📂 Raw Data'!B338))</f>
        <v>Kavita Lal</v>
      </c>
      <c r="C338" s="16">
        <f>'📂 Raw Data'!C338</f>
        <v>30</v>
      </c>
      <c r="D338" s="16" t="str">
        <f>IF(OR('📂 Raw Data'!D338="M",'📂 Raw Data'!D338="m"),"Male",IF(OR('📂 Raw Data'!D338="F",'📂 Raw Data'!D338="f"),"Female",PROPER('📂 Raw Data'!D338)))</f>
        <v>Male</v>
      </c>
      <c r="E338" s="17" t="str">
        <f>UPPER(TRIM('📂 Raw Data'!E338))</f>
        <v>ENGINEERING</v>
      </c>
      <c r="F338" s="16" t="str">
        <f>PROPER(TRIM('📂 Raw Data'!F338))</f>
        <v>Tech Lead</v>
      </c>
      <c r="G338" s="16" t="str">
        <f>IFERROR(IF(ISNUMBER('📂 Raw Data'!G338),TEXT('📂 Raw Data'!G338,"DD-MMM-YYYY"),TEXT(DATEVALUE('📂 Raw Data'!G338),"DD-MMM-YYYY")),"Invalid Date")</f>
        <v>18-Sep-2023</v>
      </c>
      <c r="H338" s="16" t="str">
        <f>PROPER(TRIM('📂 Raw Data'!H338))</f>
        <v>Bangalore</v>
      </c>
      <c r="I338" s="18">
        <f>IFERROR(IF(ISNUMBER('📂 Raw Data'!I338),ABS('📂 Raw Data'!I338),0),0)</f>
        <v>99798</v>
      </c>
      <c r="J338" s="18">
        <f>IFERROR(ABS('📂 Raw Data'!J338),0)</f>
        <v>48420</v>
      </c>
      <c r="K338" s="18">
        <f>IFERROR(ABS('📂 Raw Data'!K338),0)</f>
        <v>4534</v>
      </c>
      <c r="L338" s="18">
        <f>IFERROR(ABS('📂 Raw Data'!L338),0)</f>
        <v>772</v>
      </c>
      <c r="M338" s="18">
        <f>IFERROR(ABS('📂 Raw Data'!M338),0)</f>
        <v>1309</v>
      </c>
      <c r="N338" s="18">
        <f t="shared" si="5"/>
        <v>154833</v>
      </c>
      <c r="O338" s="16">
        <f>IFERROR(ABS('📂 Raw Data'!O338),0)</f>
        <v>22</v>
      </c>
      <c r="P338" s="20">
        <f>IFERROR(ABS('📂 Raw Data'!P207),0)</f>
        <v>45</v>
      </c>
      <c r="Q338" s="19" t="str">
        <f>'📂 Raw Data'!Q338</f>
        <v>Good</v>
      </c>
      <c r="R338" s="55" t="str">
        <f>'📂 Raw Data'!R338</f>
        <v>Active</v>
      </c>
    </row>
    <row r="339" spans="1:18" ht="18" customHeight="1">
      <c r="A339" s="54" t="str">
        <f>'📂 Raw Data'!A339</f>
        <v>EMP1337</v>
      </c>
      <c r="B339" s="16" t="str">
        <f>PROPER(TRIM('📂 Raw Data'!B339))</f>
        <v>Jyoti Hassan</v>
      </c>
      <c r="C339" s="16">
        <f>'📂 Raw Data'!C339</f>
        <v>33</v>
      </c>
      <c r="D339" s="16" t="str">
        <f>IF(OR('📂 Raw Data'!D339="M",'📂 Raw Data'!D339="m"),"Male",IF(OR('📂 Raw Data'!D339="F",'📂 Raw Data'!D339="f"),"Female",PROPER('📂 Raw Data'!D339)))</f>
        <v>Female</v>
      </c>
      <c r="E339" s="17" t="str">
        <f>UPPER(TRIM('📂 Raw Data'!E339))</f>
        <v>HR</v>
      </c>
      <c r="F339" s="16" t="str">
        <f>PROPER(TRIM('📂 Raw Data'!F339))</f>
        <v>Recruiter</v>
      </c>
      <c r="G339" s="16" t="str">
        <f>IFERROR(IF(ISNUMBER('📂 Raw Data'!G339),TEXT('📂 Raw Data'!G339,"DD-MMM-YYYY"),TEXT(DATEVALUE('📂 Raw Data'!G339),"DD-MMM-YYYY")),"Invalid Date")</f>
        <v>13-Oct-2016</v>
      </c>
      <c r="H339" s="16" t="str">
        <f>PROPER(TRIM('📂 Raw Data'!H339))</f>
        <v>Chennai</v>
      </c>
      <c r="I339" s="18">
        <f>IFERROR(IF(ISNUMBER('📂 Raw Data'!I339),ABS('📂 Raw Data'!I339),0),0)</f>
        <v>99588</v>
      </c>
      <c r="J339" s="18">
        <f>IFERROR(ABS('📂 Raw Data'!J339),0)</f>
        <v>48158</v>
      </c>
      <c r="K339" s="18">
        <f>IFERROR(ABS('📂 Raw Data'!K339),0)</f>
        <v>14030</v>
      </c>
      <c r="L339" s="18">
        <f>IFERROR(ABS('📂 Raw Data'!L339),0)</f>
        <v>632</v>
      </c>
      <c r="M339" s="18">
        <f>IFERROR(ABS('📂 Raw Data'!M339),0)</f>
        <v>6927</v>
      </c>
      <c r="N339" s="18">
        <f t="shared" si="5"/>
        <v>169335</v>
      </c>
      <c r="O339" s="16">
        <f>IFERROR(ABS('📂 Raw Data'!O339),0)</f>
        <v>20</v>
      </c>
      <c r="P339" s="20">
        <f>IFERROR(ABS('📂 Raw Data'!P208),0)</f>
        <v>65</v>
      </c>
      <c r="Q339" s="19" t="str">
        <f>'📂 Raw Data'!Q339</f>
        <v>Excellent</v>
      </c>
      <c r="R339" s="55" t="str">
        <f>'📂 Raw Data'!R339</f>
        <v>On Leave</v>
      </c>
    </row>
    <row r="340" spans="1:18" ht="18" customHeight="1">
      <c r="A340" s="54" t="str">
        <f>'📂 Raw Data'!A340</f>
        <v>EMP1338</v>
      </c>
      <c r="B340" s="16" t="str">
        <f>PROPER(TRIM('📂 Raw Data'!B340))</f>
        <v>Priya Ojha</v>
      </c>
      <c r="C340" s="16">
        <f>'📂 Raw Data'!C340</f>
        <v>48</v>
      </c>
      <c r="D340" s="16" t="str">
        <f>IF(OR('📂 Raw Data'!D340="M",'📂 Raw Data'!D340="m"),"Male",IF(OR('📂 Raw Data'!D340="F",'📂 Raw Data'!D340="f"),"Female",PROPER('📂 Raw Data'!D340)))</f>
        <v>Female</v>
      </c>
      <c r="E340" s="17" t="str">
        <f>UPPER(TRIM('📂 Raw Data'!E340))</f>
        <v>MARKETING</v>
      </c>
      <c r="F340" s="16" t="str">
        <f>PROPER(TRIM('📂 Raw Data'!F340))</f>
        <v>Seo Specialist</v>
      </c>
      <c r="G340" s="16" t="str">
        <f>IFERROR(IF(ISNUMBER('📂 Raw Data'!G340),TEXT('📂 Raw Data'!G340,"DD-MMM-YYYY"),TEXT(DATEVALUE('📂 Raw Data'!G340),"DD-MMM-YYYY")),"Invalid Date")</f>
        <v>26-Dec-2015</v>
      </c>
      <c r="H340" s="16" t="str">
        <f>PROPER(TRIM('📂 Raw Data'!H340))</f>
        <v>Kolkata</v>
      </c>
      <c r="I340" s="18">
        <f>IFERROR(IF(ISNUMBER('📂 Raw Data'!I340),ABS('📂 Raw Data'!I340),0),0)</f>
        <v>100534</v>
      </c>
      <c r="J340" s="18">
        <f>IFERROR(ABS('📂 Raw Data'!J340),0)</f>
        <v>37832</v>
      </c>
      <c r="K340" s="18">
        <f>IFERROR(ABS('📂 Raw Data'!K340),0)</f>
        <v>14781</v>
      </c>
      <c r="L340" s="18">
        <f>IFERROR(ABS('📂 Raw Data'!L340),0)</f>
        <v>458</v>
      </c>
      <c r="M340" s="18">
        <f>IFERROR(ABS('📂 Raw Data'!M340),0)</f>
        <v>7315</v>
      </c>
      <c r="N340" s="18">
        <f t="shared" si="5"/>
        <v>160920</v>
      </c>
      <c r="O340" s="16">
        <f>IFERROR(ABS('📂 Raw Data'!O340),0)</f>
        <v>20</v>
      </c>
      <c r="P340" s="20">
        <f>IFERROR(ABS('📂 Raw Data'!P209),0)</f>
        <v>58</v>
      </c>
      <c r="Q340" s="19" t="str">
        <f>'📂 Raw Data'!Q340</f>
        <v>Good</v>
      </c>
      <c r="R340" s="55" t="str">
        <f>'📂 Raw Data'!R340</f>
        <v>Active</v>
      </c>
    </row>
    <row r="341" spans="1:18" ht="18" customHeight="1">
      <c r="A341" s="54" t="str">
        <f>'📂 Raw Data'!A341</f>
        <v>EMP1339</v>
      </c>
      <c r="B341" s="16" t="str">
        <f>PROPER(TRIM('📂 Raw Data'!B341))</f>
        <v>Chirag Zafar</v>
      </c>
      <c r="C341" s="16">
        <f>'📂 Raw Data'!C341</f>
        <v>31</v>
      </c>
      <c r="D341" s="16" t="str">
        <f>IF(OR('📂 Raw Data'!D341="M",'📂 Raw Data'!D341="m"),"Male",IF(OR('📂 Raw Data'!D341="F",'📂 Raw Data'!D341="f"),"Female",PROPER('📂 Raw Data'!D341)))</f>
        <v>Male</v>
      </c>
      <c r="E341" s="17" t="str">
        <f>UPPER(TRIM('📂 Raw Data'!E341))</f>
        <v>OPERATIONS</v>
      </c>
      <c r="F341" s="16" t="str">
        <f>PROPER(TRIM('📂 Raw Data'!F341))</f>
        <v>Operations Executive</v>
      </c>
      <c r="G341" s="16" t="str">
        <f>IFERROR(IF(ISNUMBER('📂 Raw Data'!G341),TEXT('📂 Raw Data'!G341,"DD-MMM-YYYY"),TEXT(DATEVALUE('📂 Raw Data'!G341),"DD-MMM-YYYY")),"Invalid Date")</f>
        <v>10-Jan-2021</v>
      </c>
      <c r="H341" s="16" t="str">
        <f>PROPER(TRIM('📂 Raw Data'!H341))</f>
        <v>Mumbai</v>
      </c>
      <c r="I341" s="18">
        <f>IFERROR(IF(ISNUMBER('📂 Raw Data'!I341),ABS('📂 Raw Data'!I341),0),0)</f>
        <v>93731</v>
      </c>
      <c r="J341" s="18">
        <f>IFERROR(ABS('📂 Raw Data'!J341),0)</f>
        <v>28891</v>
      </c>
      <c r="K341" s="18">
        <f>IFERROR(ABS('📂 Raw Data'!K341),0)</f>
        <v>10846</v>
      </c>
      <c r="L341" s="18">
        <f>IFERROR(ABS('📂 Raw Data'!L341),0)</f>
        <v>4627</v>
      </c>
      <c r="M341" s="18">
        <f>IFERROR(ABS('📂 Raw Data'!M341),0)</f>
        <v>2225</v>
      </c>
      <c r="N341" s="18">
        <f t="shared" si="5"/>
        <v>140320</v>
      </c>
      <c r="O341" s="16">
        <f>IFERROR(ABS('📂 Raw Data'!O341),0)</f>
        <v>20</v>
      </c>
      <c r="P341" s="20">
        <f>IFERROR(ABS('📂 Raw Data'!P210),0)</f>
        <v>90</v>
      </c>
      <c r="Q341" s="19" t="str">
        <f>'📂 Raw Data'!Q341</f>
        <v>Below Average</v>
      </c>
      <c r="R341" s="55" t="str">
        <f>'📂 Raw Data'!R341</f>
        <v>On Leave</v>
      </c>
    </row>
    <row r="342" spans="1:18" ht="18" customHeight="1">
      <c r="A342" s="54" t="str">
        <f>'📂 Raw Data'!A342</f>
        <v>EMP1340</v>
      </c>
      <c r="B342" s="16" t="str">
        <f>PROPER(TRIM('📂 Raw Data'!B342))</f>
        <v>Vikas Dubey</v>
      </c>
      <c r="C342" s="16">
        <f>'📂 Raw Data'!C342</f>
        <v>47</v>
      </c>
      <c r="D342" s="16" t="str">
        <f>IF(OR('📂 Raw Data'!D342="M",'📂 Raw Data'!D342="m"),"Male",IF(OR('📂 Raw Data'!D342="F",'📂 Raw Data'!D342="f"),"Female",PROPER('📂 Raw Data'!D342)))</f>
        <v>Male</v>
      </c>
      <c r="E342" s="17" t="str">
        <f>UPPER(TRIM('📂 Raw Data'!E342))</f>
        <v>MARKETING</v>
      </c>
      <c r="F342" s="16" t="str">
        <f>PROPER(TRIM('📂 Raw Data'!F342))</f>
        <v>Marketing Executive</v>
      </c>
      <c r="G342" s="16" t="str">
        <f>IFERROR(IF(ISNUMBER('📂 Raw Data'!G342),TEXT('📂 Raw Data'!G342,"DD-MMM-YYYY"),TEXT(DATEVALUE('📂 Raw Data'!G342),"DD-MMM-YYYY")),"Invalid Date")</f>
        <v>10-Jul-2018</v>
      </c>
      <c r="H342" s="16" t="str">
        <f>PROPER(TRIM('📂 Raw Data'!H342))</f>
        <v>Bangalore</v>
      </c>
      <c r="I342" s="18">
        <f>IFERROR(IF(ISNUMBER('📂 Raw Data'!I342),ABS('📂 Raw Data'!I342),0),0)</f>
        <v>76684</v>
      </c>
      <c r="J342" s="18">
        <f>IFERROR(ABS('📂 Raw Data'!J342),0)</f>
        <v>25275</v>
      </c>
      <c r="K342" s="18">
        <f>IFERROR(ABS('📂 Raw Data'!K342),0)</f>
        <v>7507</v>
      </c>
      <c r="L342" s="18">
        <f>IFERROR(ABS('📂 Raw Data'!L342),0)</f>
        <v>676</v>
      </c>
      <c r="M342" s="18">
        <f>IFERROR(ABS('📂 Raw Data'!M342),0)</f>
        <v>4898</v>
      </c>
      <c r="N342" s="18">
        <f t="shared" si="5"/>
        <v>115040</v>
      </c>
      <c r="O342" s="16">
        <f>IFERROR(ABS('📂 Raw Data'!O342),0)</f>
        <v>24</v>
      </c>
      <c r="P342" s="20">
        <f>IFERROR(ABS('📂 Raw Data'!P211),0)</f>
        <v>43</v>
      </c>
      <c r="Q342" s="19" t="str">
        <f>'📂 Raw Data'!Q342</f>
        <v>Below Average</v>
      </c>
      <c r="R342" s="55" t="str">
        <f>'📂 Raw Data'!R342</f>
        <v>Active</v>
      </c>
    </row>
    <row r="343" spans="1:18" ht="18" customHeight="1">
      <c r="A343" s="54" t="str">
        <f>'📂 Raw Data'!A343</f>
        <v>EMP1341</v>
      </c>
      <c r="B343" s="16" t="str">
        <f>PROPER(TRIM('📂 Raw Data'!B343))</f>
        <v>Lokesh Islam</v>
      </c>
      <c r="C343" s="16">
        <f>'📂 Raw Data'!C343</f>
        <v>37</v>
      </c>
      <c r="D343" s="16" t="str">
        <f>IF(OR('📂 Raw Data'!D343="M",'📂 Raw Data'!D343="m"),"Male",IF(OR('📂 Raw Data'!D343="F",'📂 Raw Data'!D343="f"),"Female",PROPER('📂 Raw Data'!D343)))</f>
        <v>Male</v>
      </c>
      <c r="E343" s="17" t="str">
        <f>UPPER(TRIM('📂 Raw Data'!E343))</f>
        <v>OPERATIONS</v>
      </c>
      <c r="F343" s="16" t="str">
        <f>PROPER(TRIM('📂 Raw Data'!F343))</f>
        <v>Logistics Manager</v>
      </c>
      <c r="G343" s="16" t="str">
        <f>IFERROR(IF(ISNUMBER('📂 Raw Data'!G343),TEXT('📂 Raw Data'!G343,"DD-MMM-YYYY"),TEXT(DATEVALUE('📂 Raw Data'!G343),"DD-MMM-YYYY")),"Invalid Date")</f>
        <v>08-Jan-2017</v>
      </c>
      <c r="H343" s="16" t="str">
        <f>PROPER(TRIM('📂 Raw Data'!H343))</f>
        <v>Mumbai</v>
      </c>
      <c r="I343" s="18">
        <f>IFERROR(IF(ISNUMBER('📂 Raw Data'!I343),ABS('📂 Raw Data'!I343),0),0)</f>
        <v>50966</v>
      </c>
      <c r="J343" s="18">
        <f>IFERROR(ABS('📂 Raw Data'!J343),0)</f>
        <v>20263</v>
      </c>
      <c r="K343" s="18">
        <f>IFERROR(ABS('📂 Raw Data'!K343),0)</f>
        <v>12686</v>
      </c>
      <c r="L343" s="18">
        <f>IFERROR(ABS('📂 Raw Data'!L343),0)</f>
        <v>4680</v>
      </c>
      <c r="M343" s="18">
        <f>IFERROR(ABS('📂 Raw Data'!M343),0)</f>
        <v>2606</v>
      </c>
      <c r="N343" s="18">
        <f t="shared" si="5"/>
        <v>91201</v>
      </c>
      <c r="O343" s="16">
        <f>IFERROR(ABS('📂 Raw Data'!O343),0)</f>
        <v>23</v>
      </c>
      <c r="P343" s="20">
        <f>IFERROR(ABS('📂 Raw Data'!P212),0)</f>
        <v>62</v>
      </c>
      <c r="Q343" s="19" t="str">
        <f>'📂 Raw Data'!Q343</f>
        <v>Average</v>
      </c>
      <c r="R343" s="55" t="str">
        <f>'📂 Raw Data'!R343</f>
        <v>Active</v>
      </c>
    </row>
    <row r="344" spans="1:18" ht="18" customHeight="1">
      <c r="A344" s="54" t="str">
        <f>'📂 Raw Data'!A344</f>
        <v>EMP1342</v>
      </c>
      <c r="B344" s="16" t="str">
        <f>PROPER(TRIM('📂 Raw Data'!B344))</f>
        <v>Chhaya Subramaniam</v>
      </c>
      <c r="C344" s="16">
        <f>'📂 Raw Data'!C344</f>
        <v>41</v>
      </c>
      <c r="D344" s="16" t="str">
        <f>IF(OR('📂 Raw Data'!D344="M",'📂 Raw Data'!D344="m"),"Male",IF(OR('📂 Raw Data'!D344="F",'📂 Raw Data'!D344="f"),"Female",PROPER('📂 Raw Data'!D344)))</f>
        <v>Male</v>
      </c>
      <c r="E344" s="17" t="str">
        <f>UPPER(TRIM('📂 Raw Data'!E344))</f>
        <v>OPERATIONS</v>
      </c>
      <c r="F344" s="16" t="str">
        <f>PROPER(TRIM('📂 Raw Data'!F344))</f>
        <v>Operations Executive</v>
      </c>
      <c r="G344" s="16" t="str">
        <f>IFERROR(IF(ISNUMBER('📂 Raw Data'!G344),TEXT('📂 Raw Data'!G344,"DD-MMM-YYYY"),TEXT(DATEVALUE('📂 Raw Data'!G344),"DD-MMM-YYYY")),"Invalid Date")</f>
        <v>14-Nov-2016</v>
      </c>
      <c r="H344" s="16" t="str">
        <f>PROPER(TRIM('📂 Raw Data'!H344))</f>
        <v>Delhi</v>
      </c>
      <c r="I344" s="18">
        <f>IFERROR(IF(ISNUMBER('📂 Raw Data'!I344),ABS('📂 Raw Data'!I344),0),0)</f>
        <v>80514</v>
      </c>
      <c r="J344" s="18">
        <f>IFERROR(ABS('📂 Raw Data'!J344),0)</f>
        <v>30036</v>
      </c>
      <c r="K344" s="18">
        <f>IFERROR(ABS('📂 Raw Data'!K344),0)</f>
        <v>5120</v>
      </c>
      <c r="L344" s="18">
        <f>IFERROR(ABS('📂 Raw Data'!L344),0)</f>
        <v>2627</v>
      </c>
      <c r="M344" s="18">
        <f>IFERROR(ABS('📂 Raw Data'!M344),0)</f>
        <v>3822</v>
      </c>
      <c r="N344" s="18">
        <f t="shared" si="5"/>
        <v>122119</v>
      </c>
      <c r="O344" s="16">
        <f>IFERROR(ABS('📂 Raw Data'!O344),0)</f>
        <v>24</v>
      </c>
      <c r="P344" s="20">
        <f>IFERROR(ABS('📂 Raw Data'!P213),0)</f>
        <v>74</v>
      </c>
      <c r="Q344" s="19" t="str">
        <f>'📂 Raw Data'!Q344</f>
        <v>Below Average</v>
      </c>
      <c r="R344" s="55" t="str">
        <f>'📂 Raw Data'!R344</f>
        <v>Active</v>
      </c>
    </row>
    <row r="345" spans="1:18" ht="18" customHeight="1">
      <c r="A345" s="54" t="str">
        <f>'📂 Raw Data'!A345</f>
        <v>EMP1343</v>
      </c>
      <c r="B345" s="16" t="str">
        <f>PROPER(TRIM('📂 Raw Data'!B345))</f>
        <v>Ekta Gupta</v>
      </c>
      <c r="C345" s="16">
        <f>'📂 Raw Data'!C345</f>
        <v>29</v>
      </c>
      <c r="D345" s="16" t="str">
        <f>IF(OR('📂 Raw Data'!D345="M",'📂 Raw Data'!D345="m"),"Male",IF(OR('📂 Raw Data'!D345="F",'📂 Raw Data'!D345="f"),"Female",PROPER('📂 Raw Data'!D345)))</f>
        <v>Male</v>
      </c>
      <c r="E345" s="17" t="str">
        <f>UPPER(TRIM('📂 Raw Data'!E345))</f>
        <v>MARKETING</v>
      </c>
      <c r="F345" s="16" t="str">
        <f>PROPER(TRIM('📂 Raw Data'!F345))</f>
        <v>Content Writer</v>
      </c>
      <c r="G345" s="16" t="str">
        <f>IFERROR(IF(ISNUMBER('📂 Raw Data'!G345),TEXT('📂 Raw Data'!G345,"DD-MMM-YYYY"),TEXT(DATEVALUE('📂 Raw Data'!G345),"DD-MMM-YYYY")),"Invalid Date")</f>
        <v>27-Jan-2022</v>
      </c>
      <c r="H345" s="16" t="str">
        <f>PROPER(TRIM('📂 Raw Data'!H345))</f>
        <v>Pune</v>
      </c>
      <c r="I345" s="18">
        <f>IFERROR(IF(ISNUMBER('📂 Raw Data'!I345),ABS('📂 Raw Data'!I345),0),0)</f>
        <v>55603</v>
      </c>
      <c r="J345" s="18">
        <f>IFERROR(ABS('📂 Raw Data'!J345),0)</f>
        <v>18902</v>
      </c>
      <c r="K345" s="18">
        <f>IFERROR(ABS('📂 Raw Data'!K345),0)</f>
        <v>8124</v>
      </c>
      <c r="L345" s="18">
        <f>IFERROR(ABS('📂 Raw Data'!L345),0)</f>
        <v>1277</v>
      </c>
      <c r="M345" s="18">
        <f>IFERROR(ABS('📂 Raw Data'!M345),0)</f>
        <v>7207</v>
      </c>
      <c r="N345" s="18">
        <f t="shared" si="5"/>
        <v>91113</v>
      </c>
      <c r="O345" s="16">
        <f>IFERROR(ABS('📂 Raw Data'!O345),0)</f>
        <v>26</v>
      </c>
      <c r="P345" s="20">
        <f>IFERROR(ABS('📂 Raw Data'!P214),0)</f>
        <v>61</v>
      </c>
      <c r="Q345" s="19" t="str">
        <f>'📂 Raw Data'!Q345</f>
        <v>Good</v>
      </c>
      <c r="R345" s="55" t="str">
        <f>'📂 Raw Data'!R345</f>
        <v>Active</v>
      </c>
    </row>
    <row r="346" spans="1:18" ht="18" customHeight="1">
      <c r="A346" s="54" t="str">
        <f>'📂 Raw Data'!A346</f>
        <v>EMP1344</v>
      </c>
      <c r="B346" s="16" t="str">
        <f>PROPER(TRIM('📂 Raw Data'!B346))</f>
        <v>Farhan Bahl</v>
      </c>
      <c r="C346" s="16">
        <f>'📂 Raw Data'!C346</f>
        <v>35</v>
      </c>
      <c r="D346" s="16" t="str">
        <f>IF(OR('📂 Raw Data'!D346="M",'📂 Raw Data'!D346="m"),"Male",IF(OR('📂 Raw Data'!D346="F",'📂 Raw Data'!D346="f"),"Female",PROPER('📂 Raw Data'!D346)))</f>
        <v>Male</v>
      </c>
      <c r="E346" s="17" t="str">
        <f>UPPER(TRIM('📂 Raw Data'!E346))</f>
        <v>HR</v>
      </c>
      <c r="F346" s="16" t="str">
        <f>PROPER(TRIM('📂 Raw Data'!F346))</f>
        <v>Hr Executive</v>
      </c>
      <c r="G346" s="16" t="str">
        <f>IFERROR(IF(ISNUMBER('📂 Raw Data'!G346),TEXT('📂 Raw Data'!G346,"DD-MMM-YYYY"),TEXT(DATEVALUE('📂 Raw Data'!G346),"DD-MMM-YYYY")),"Invalid Date")</f>
        <v>26-Dec-2020</v>
      </c>
      <c r="H346" s="16" t="str">
        <f>PROPER(TRIM('📂 Raw Data'!H346))</f>
        <v>Hyderabad</v>
      </c>
      <c r="I346" s="18">
        <f>IFERROR(IF(ISNUMBER('📂 Raw Data'!I346),ABS('📂 Raw Data'!I346),0),0)</f>
        <v>39585</v>
      </c>
      <c r="J346" s="18">
        <f>IFERROR(ABS('📂 Raw Data'!J346),0)</f>
        <v>14291</v>
      </c>
      <c r="K346" s="18">
        <f>IFERROR(ABS('📂 Raw Data'!K346),0)</f>
        <v>9719</v>
      </c>
      <c r="L346" s="18">
        <f>IFERROR(ABS('📂 Raw Data'!L346),0)</f>
        <v>186</v>
      </c>
      <c r="M346" s="18">
        <f>IFERROR(ABS('📂 Raw Data'!M346),0)</f>
        <v>3718</v>
      </c>
      <c r="N346" s="18">
        <f t="shared" si="5"/>
        <v>67499</v>
      </c>
      <c r="O346" s="16">
        <f>IFERROR(ABS('📂 Raw Data'!O346),0)</f>
        <v>18</v>
      </c>
      <c r="P346" s="20">
        <f>IFERROR(ABS('📂 Raw Data'!P215),0)</f>
        <v>48</v>
      </c>
      <c r="Q346" s="19" t="str">
        <f>'📂 Raw Data'!Q346</f>
        <v>Poor</v>
      </c>
      <c r="R346" s="55" t="str">
        <f>'📂 Raw Data'!R346</f>
        <v>Resigned</v>
      </c>
    </row>
    <row r="347" spans="1:18" ht="18" customHeight="1">
      <c r="A347" s="54" t="str">
        <f>'📂 Raw Data'!A347</f>
        <v>EMP1345</v>
      </c>
      <c r="B347" s="16" t="str">
        <f>PROPER(TRIM('📂 Raw Data'!B347))</f>
        <v>Esha Verma</v>
      </c>
      <c r="C347" s="16">
        <f>'📂 Raw Data'!C347</f>
        <v>25</v>
      </c>
      <c r="D347" s="16" t="str">
        <f>IF(OR('📂 Raw Data'!D347="M",'📂 Raw Data'!D347="m"),"Male",IF(OR('📂 Raw Data'!D347="F",'📂 Raw Data'!D347="f"),"Female",PROPER('📂 Raw Data'!D347)))</f>
        <v>Female</v>
      </c>
      <c r="E347" s="17" t="str">
        <f>UPPER(TRIM('📂 Raw Data'!E347))</f>
        <v>FINANCE</v>
      </c>
      <c r="F347" s="16" t="str">
        <f>PROPER(TRIM('📂 Raw Data'!F347))</f>
        <v>Senior Accountant</v>
      </c>
      <c r="G347" s="16" t="str">
        <f>IFERROR(IF(ISNUMBER('📂 Raw Data'!G347),TEXT('📂 Raw Data'!G347,"DD-MMM-YYYY"),TEXT(DATEVALUE('📂 Raw Data'!G347),"DD-MMM-YYYY")),"Invalid Date")</f>
        <v>19-Jul-2015</v>
      </c>
      <c r="H347" s="16" t="str">
        <f>PROPER(TRIM('📂 Raw Data'!H347))</f>
        <v>Chennai</v>
      </c>
      <c r="I347" s="18">
        <f>IFERROR(IF(ISNUMBER('📂 Raw Data'!I347),ABS('📂 Raw Data'!I347),0),0)</f>
        <v>111969</v>
      </c>
      <c r="J347" s="18">
        <f>IFERROR(ABS('📂 Raw Data'!J347),0)</f>
        <v>45388</v>
      </c>
      <c r="K347" s="18">
        <f>IFERROR(ABS('📂 Raw Data'!K347),0)</f>
        <v>6185</v>
      </c>
      <c r="L347" s="18">
        <f>IFERROR(ABS('📂 Raw Data'!L347),0)</f>
        <v>1395</v>
      </c>
      <c r="M347" s="18">
        <f>IFERROR(ABS('📂 Raw Data'!M347),0)</f>
        <v>1492</v>
      </c>
      <c r="N347" s="18">
        <f t="shared" si="5"/>
        <v>166429</v>
      </c>
      <c r="O347" s="16">
        <f>IFERROR(ABS('📂 Raw Data'!O347),0)</f>
        <v>19</v>
      </c>
      <c r="P347" s="20">
        <f>IFERROR(ABS('📂 Raw Data'!P216),0)</f>
        <v>51</v>
      </c>
      <c r="Q347" s="19" t="str">
        <f>'📂 Raw Data'!Q347</f>
        <v>Below Average</v>
      </c>
      <c r="R347" s="55" t="str">
        <f>'📂 Raw Data'!R347</f>
        <v>On Leave</v>
      </c>
    </row>
    <row r="348" spans="1:18" ht="18" customHeight="1">
      <c r="A348" s="54" t="str">
        <f>'📂 Raw Data'!A348</f>
        <v>EMP1346</v>
      </c>
      <c r="B348" s="16" t="str">
        <f>PROPER(TRIM('📂 Raw Data'!B348))</f>
        <v>Om Rao</v>
      </c>
      <c r="C348" s="16">
        <f>'📂 Raw Data'!C348</f>
        <v>42</v>
      </c>
      <c r="D348" s="16" t="str">
        <f>IF(OR('📂 Raw Data'!D348="M",'📂 Raw Data'!D348="m"),"Male",IF(OR('📂 Raw Data'!D348="F",'📂 Raw Data'!D348="f"),"Female",PROPER('📂 Raw Data'!D348)))</f>
        <v>Male</v>
      </c>
      <c r="E348" s="17" t="str">
        <f>UPPER(TRIM('📂 Raw Data'!E348))</f>
        <v>OPERATIONS</v>
      </c>
      <c r="F348" s="16" t="str">
        <f>PROPER(TRIM('📂 Raw Data'!F348))</f>
        <v>Admin Officer</v>
      </c>
      <c r="G348" s="16" t="str">
        <f>IFERROR(IF(ISNUMBER('📂 Raw Data'!G348),TEXT('📂 Raw Data'!G348,"DD-MMM-YYYY"),TEXT(DATEVALUE('📂 Raw Data'!G348),"DD-MMM-YYYY")),"Invalid Date")</f>
        <v>01-Feb-2020</v>
      </c>
      <c r="H348" s="16" t="str">
        <f>PROPER(TRIM('📂 Raw Data'!H348))</f>
        <v>Chennai</v>
      </c>
      <c r="I348" s="18">
        <f>IFERROR(IF(ISNUMBER('📂 Raw Data'!I348),ABS('📂 Raw Data'!I348),0),0)</f>
        <v>63337</v>
      </c>
      <c r="J348" s="18">
        <f>IFERROR(ABS('📂 Raw Data'!J348),0)</f>
        <v>29989</v>
      </c>
      <c r="K348" s="18">
        <f>IFERROR(ABS('📂 Raw Data'!K348),0)</f>
        <v>12639</v>
      </c>
      <c r="L348" s="18">
        <f>IFERROR(ABS('📂 Raw Data'!L348),0)</f>
        <v>3166</v>
      </c>
      <c r="M348" s="18">
        <f>IFERROR(ABS('📂 Raw Data'!M348),0)</f>
        <v>2893</v>
      </c>
      <c r="N348" s="18">
        <f t="shared" si="5"/>
        <v>112024</v>
      </c>
      <c r="O348" s="16">
        <f>IFERROR(ABS('📂 Raw Data'!O348),0)</f>
        <v>21</v>
      </c>
      <c r="P348" s="20">
        <f>IFERROR(ABS('📂 Raw Data'!P217),0)</f>
        <v>80</v>
      </c>
      <c r="Q348" s="19" t="str">
        <f>'📂 Raw Data'!Q348</f>
        <v>Good</v>
      </c>
      <c r="R348" s="55" t="str">
        <f>'📂 Raw Data'!R348</f>
        <v>Resigned</v>
      </c>
    </row>
    <row r="349" spans="1:18" ht="18" customHeight="1">
      <c r="A349" s="54" t="str">
        <f>'📂 Raw Data'!A349</f>
        <v>EMP1347</v>
      </c>
      <c r="B349" s="16" t="str">
        <f>PROPER(TRIM('📂 Raw Data'!B349))</f>
        <v>Rohit Thakur</v>
      </c>
      <c r="C349" s="16">
        <f>'📂 Raw Data'!C349</f>
        <v>23</v>
      </c>
      <c r="D349" s="16" t="str">
        <f>IF(OR('📂 Raw Data'!D349="M",'📂 Raw Data'!D349="m"),"Male",IF(OR('📂 Raw Data'!D349="F",'📂 Raw Data'!D349="f"),"Female",PROPER('📂 Raw Data'!D349)))</f>
        <v>Male</v>
      </c>
      <c r="E349" s="17" t="str">
        <f>UPPER(TRIM('📂 Raw Data'!E349))</f>
        <v>SALES</v>
      </c>
      <c r="F349" s="16" t="str">
        <f>PROPER(TRIM('📂 Raw Data'!F349))</f>
        <v>Business Dev</v>
      </c>
      <c r="G349" s="16" t="str">
        <f>IFERROR(IF(ISNUMBER('📂 Raw Data'!G349),TEXT('📂 Raw Data'!G349,"DD-MMM-YYYY"),TEXT(DATEVALUE('📂 Raw Data'!G349),"DD-MMM-YYYY")),"Invalid Date")</f>
        <v>01-Dec-2023</v>
      </c>
      <c r="H349" s="16" t="str">
        <f>PROPER(TRIM('📂 Raw Data'!H349))</f>
        <v>Bangalore</v>
      </c>
      <c r="I349" s="18">
        <f>IFERROR(IF(ISNUMBER('📂 Raw Data'!I349),ABS('📂 Raw Data'!I349),0),0)</f>
        <v>30210</v>
      </c>
      <c r="J349" s="18">
        <f>IFERROR(ABS('📂 Raw Data'!J349),0)</f>
        <v>10558</v>
      </c>
      <c r="K349" s="18">
        <f>IFERROR(ABS('📂 Raw Data'!K349),0)</f>
        <v>10673</v>
      </c>
      <c r="L349" s="18">
        <f>IFERROR(ABS('📂 Raw Data'!L349),0)</f>
        <v>2497</v>
      </c>
      <c r="M349" s="18">
        <f>IFERROR(ABS('📂 Raw Data'!M349),0)</f>
        <v>3732</v>
      </c>
      <c r="N349" s="18">
        <f t="shared" si="5"/>
        <v>57670</v>
      </c>
      <c r="O349" s="16">
        <f>IFERROR(ABS('📂 Raw Data'!O349),0)</f>
        <v>22</v>
      </c>
      <c r="P349" s="20">
        <f>IFERROR(ABS('📂 Raw Data'!P218),0)</f>
        <v>66</v>
      </c>
      <c r="Q349" s="19" t="str">
        <f>'📂 Raw Data'!Q349</f>
        <v>Average</v>
      </c>
      <c r="R349" s="55" t="str">
        <f>'📂 Raw Data'!R349</f>
        <v>On Leave</v>
      </c>
    </row>
    <row r="350" spans="1:18" ht="18" customHeight="1">
      <c r="A350" s="54" t="str">
        <f>'📂 Raw Data'!A350</f>
        <v>EMP1348</v>
      </c>
      <c r="B350" s="16" t="str">
        <f>PROPER(TRIM('📂 Raw Data'!B350))</f>
        <v>Karan Rao</v>
      </c>
      <c r="C350" s="16">
        <f>'📂 Raw Data'!C350</f>
        <v>43</v>
      </c>
      <c r="D350" s="16" t="str">
        <f>IF(OR('📂 Raw Data'!D350="M",'📂 Raw Data'!D350="m"),"Male",IF(OR('📂 Raw Data'!D350="F",'📂 Raw Data'!D350="f"),"Female",PROPER('📂 Raw Data'!D350)))</f>
        <v>Male</v>
      </c>
      <c r="E350" s="17" t="str">
        <f>UPPER(TRIM('📂 Raw Data'!E350))</f>
        <v>SALES</v>
      </c>
      <c r="F350" s="16" t="str">
        <f>PROPER(TRIM('📂 Raw Data'!F350))</f>
        <v>Sales Manager</v>
      </c>
      <c r="G350" s="16" t="str">
        <f>IFERROR(IF(ISNUMBER('📂 Raw Data'!G350),TEXT('📂 Raw Data'!G350,"DD-MMM-YYYY"),TEXT(DATEVALUE('📂 Raw Data'!G350),"DD-MMM-YYYY")),"Invalid Date")</f>
        <v>09-Nov-2015</v>
      </c>
      <c r="H350" s="16" t="str">
        <f>PROPER(TRIM('📂 Raw Data'!H350))</f>
        <v>Chennai</v>
      </c>
      <c r="I350" s="18">
        <f>IFERROR(IF(ISNUMBER('📂 Raw Data'!I350),ABS('📂 Raw Data'!I350),0),0)</f>
        <v>75747</v>
      </c>
      <c r="J350" s="18">
        <f>IFERROR(ABS('📂 Raw Data'!J350),0)</f>
        <v>36213</v>
      </c>
      <c r="K350" s="18">
        <f>IFERROR(ABS('📂 Raw Data'!K350),0)</f>
        <v>2482</v>
      </c>
      <c r="L350" s="18">
        <f>IFERROR(ABS('📂 Raw Data'!L350),0)</f>
        <v>7734</v>
      </c>
      <c r="M350" s="18">
        <f>IFERROR(ABS('📂 Raw Data'!M350),0)</f>
        <v>5546</v>
      </c>
      <c r="N350" s="18">
        <f t="shared" si="5"/>
        <v>127722</v>
      </c>
      <c r="O350" s="16">
        <f>IFERROR(ABS('📂 Raw Data'!O350),0)</f>
        <v>19</v>
      </c>
      <c r="P350" s="20">
        <f>IFERROR(ABS('📂 Raw Data'!P219),0)</f>
        <v>56</v>
      </c>
      <c r="Q350" s="19" t="str">
        <f>'📂 Raw Data'!Q350</f>
        <v>Below Average</v>
      </c>
      <c r="R350" s="55" t="str">
        <f>'📂 Raw Data'!R350</f>
        <v>On Leave</v>
      </c>
    </row>
    <row r="351" spans="1:18" ht="18" customHeight="1">
      <c r="A351" s="54" t="str">
        <f>'📂 Raw Data'!A351</f>
        <v>EMP1349</v>
      </c>
      <c r="B351" s="16" t="str">
        <f>PROPER(TRIM('📂 Raw Data'!B351))</f>
        <v>Kavita Reddy</v>
      </c>
      <c r="C351" s="16">
        <f>'📂 Raw Data'!C351</f>
        <v>35</v>
      </c>
      <c r="D351" s="16" t="str">
        <f>IF(OR('📂 Raw Data'!D351="M",'📂 Raw Data'!D351="m"),"Male",IF(OR('📂 Raw Data'!D351="F",'📂 Raw Data'!D351="f"),"Female",PROPER('📂 Raw Data'!D351)))</f>
        <v>Male</v>
      </c>
      <c r="E351" s="17" t="str">
        <f>UPPER(TRIM('📂 Raw Data'!E351))</f>
        <v>MARKETING</v>
      </c>
      <c r="F351" s="16" t="str">
        <f>PROPER(TRIM('📂 Raw Data'!F351))</f>
        <v>Content Writer</v>
      </c>
      <c r="G351" s="16" t="str">
        <f>IFERROR(IF(ISNUMBER('📂 Raw Data'!G351),TEXT('📂 Raw Data'!G351,"DD-MMM-YYYY"),TEXT(DATEVALUE('📂 Raw Data'!G351),"DD-MMM-YYYY")),"Invalid Date")</f>
        <v>19-Apr-2021</v>
      </c>
      <c r="H351" s="16" t="str">
        <f>PROPER(TRIM('📂 Raw Data'!H351))</f>
        <v>Pune</v>
      </c>
      <c r="I351" s="18">
        <f>IFERROR(IF(ISNUMBER('📂 Raw Data'!I351),ABS('📂 Raw Data'!I351),0),0)</f>
        <v>45021</v>
      </c>
      <c r="J351" s="18">
        <f>IFERROR(ABS('📂 Raw Data'!J351),0)</f>
        <v>17346</v>
      </c>
      <c r="K351" s="18">
        <f>IFERROR(ABS('📂 Raw Data'!K351),0)</f>
        <v>7118</v>
      </c>
      <c r="L351" s="18">
        <f>IFERROR(ABS('📂 Raw Data'!L351),0)</f>
        <v>7452</v>
      </c>
      <c r="M351" s="18">
        <f>IFERROR(ABS('📂 Raw Data'!M351),0)</f>
        <v>5959</v>
      </c>
      <c r="N351" s="18">
        <f t="shared" si="5"/>
        <v>82896</v>
      </c>
      <c r="O351" s="16">
        <f>IFERROR(ABS('📂 Raw Data'!O351),0)</f>
        <v>20</v>
      </c>
      <c r="P351" s="20">
        <f>IFERROR(ABS('📂 Raw Data'!P220),0)</f>
        <v>78</v>
      </c>
      <c r="Q351" s="19" t="str">
        <f>'📂 Raw Data'!Q351</f>
        <v>Good</v>
      </c>
      <c r="R351" s="55" t="str">
        <f>'📂 Raw Data'!R351</f>
        <v>Active</v>
      </c>
    </row>
    <row r="352" spans="1:18" ht="18" customHeight="1">
      <c r="A352" s="54" t="str">
        <f>'📂 Raw Data'!A352</f>
        <v>EMP1350</v>
      </c>
      <c r="B352" s="16" t="str">
        <f>PROPER(TRIM('📂 Raw Data'!B352))</f>
        <v>Chirag Yadav</v>
      </c>
      <c r="C352" s="16">
        <f>'📂 Raw Data'!C352</f>
        <v>33</v>
      </c>
      <c r="D352" s="16" t="str">
        <f>IF(OR('📂 Raw Data'!D352="M",'📂 Raw Data'!D352="m"),"Male",IF(OR('📂 Raw Data'!D352="F",'📂 Raw Data'!D352="f"),"Female",PROPER('📂 Raw Data'!D352)))</f>
        <v>Male</v>
      </c>
      <c r="E352" s="17" t="str">
        <f>UPPER(TRIM('📂 Raw Data'!E352))</f>
        <v>SALES</v>
      </c>
      <c r="F352" s="16" t="str">
        <f>PROPER(TRIM('📂 Raw Data'!F352))</f>
        <v>Sales Manager</v>
      </c>
      <c r="G352" s="16" t="str">
        <f>IFERROR(IF(ISNUMBER('📂 Raw Data'!G352),TEXT('📂 Raw Data'!G352,"DD-MMM-YYYY"),TEXT(DATEVALUE('📂 Raw Data'!G352),"DD-MMM-YYYY")),"Invalid Date")</f>
        <v>14-Mar-2023</v>
      </c>
      <c r="H352" s="16" t="str">
        <f>PROPER(TRIM('📂 Raw Data'!H352))</f>
        <v>Bangalore</v>
      </c>
      <c r="I352" s="18">
        <f>IFERROR(IF(ISNUMBER('📂 Raw Data'!I352),ABS('📂 Raw Data'!I352),0),0)</f>
        <v>44025</v>
      </c>
      <c r="J352" s="18">
        <f>IFERROR(ABS('📂 Raw Data'!J352),0)</f>
        <v>18986</v>
      </c>
      <c r="K352" s="18">
        <f>IFERROR(ABS('📂 Raw Data'!K352),0)</f>
        <v>11254</v>
      </c>
      <c r="L352" s="18">
        <f>IFERROR(ABS('📂 Raw Data'!L352),0)</f>
        <v>7512</v>
      </c>
      <c r="M352" s="18">
        <f>IFERROR(ABS('📂 Raw Data'!M352),0)</f>
        <v>2294</v>
      </c>
      <c r="N352" s="67">
        <f t="shared" si="5"/>
        <v>84071</v>
      </c>
      <c r="O352" s="16">
        <f>IFERROR(ABS('📂 Raw Data'!O352),0)</f>
        <v>20</v>
      </c>
      <c r="P352" s="20">
        <f>IFERROR(ABS('📂 Raw Data'!P221),0)</f>
        <v>49</v>
      </c>
      <c r="Q352" s="19" t="str">
        <f>'📂 Raw Data'!Q352</f>
        <v>Average</v>
      </c>
      <c r="R352" s="55" t="str">
        <f>'📂 Raw Data'!R352</f>
        <v>Active</v>
      </c>
    </row>
    <row r="354" spans="1:18" ht="19.5" customHeight="1">
      <c r="A354" s="42"/>
      <c r="B354" s="42"/>
      <c r="C354" s="42"/>
      <c r="D354" s="42"/>
      <c r="E354" s="42"/>
      <c r="F354" s="42"/>
      <c r="G354" s="42"/>
      <c r="H354" s="42"/>
      <c r="I354" s="42"/>
      <c r="J354" s="42"/>
      <c r="K354" s="42"/>
      <c r="L354" s="42"/>
      <c r="M354" s="42"/>
      <c r="N354" s="42"/>
      <c r="O354" s="42"/>
      <c r="P354" s="42"/>
      <c r="Q354" s="42"/>
      <c r="R354" s="42"/>
    </row>
  </sheetData>
  <autoFilter ref="A2:R352" xr:uid="{00000000-0001-0000-0200-000000000000}"/>
  <mergeCells count="1">
    <mergeCell ref="A1:R1"/>
  </mergeCells>
  <hyperlinks>
    <hyperlink ref="A1:R1" location="'🔍 Dept Summary'!A1" display="✅  CLEAN DATA — Normalized &amp; Validated " xr:uid="{4B4EDB7A-ADB6-4FB3-BC98-65693A6E1577}"/>
  </hyperlinks>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S39"/>
  <sheetViews>
    <sheetView showGridLines="0" zoomScale="49" zoomScaleNormal="40" workbookViewId="0">
      <selection activeCell="V15" sqref="V15"/>
    </sheetView>
  </sheetViews>
  <sheetFormatPr defaultColWidth="8.6640625" defaultRowHeight="14.4"/>
  <cols>
    <col min="2" max="2" width="18" customWidth="1"/>
    <col min="3" max="3" width="11" customWidth="1"/>
    <col min="4" max="4" width="10" customWidth="1"/>
    <col min="5" max="5" width="11" customWidth="1"/>
    <col min="6" max="6" width="10" customWidth="1"/>
    <col min="7" max="8" width="16" customWidth="1"/>
    <col min="9" max="13" width="14" customWidth="1"/>
    <col min="15" max="15" width="12.77734375" customWidth="1"/>
    <col min="16" max="16" width="11.33203125" customWidth="1"/>
    <col min="17" max="17" width="11.5546875" customWidth="1"/>
    <col min="18" max="18" width="12" customWidth="1"/>
    <col min="19" max="19" width="14.21875" customWidth="1"/>
  </cols>
  <sheetData>
    <row r="1" spans="1:19" ht="36" customHeight="1">
      <c r="A1" s="183" t="s">
        <v>822</v>
      </c>
      <c r="B1" s="184"/>
      <c r="C1" s="184"/>
      <c r="D1" s="184"/>
      <c r="E1" s="184"/>
      <c r="F1" s="184"/>
      <c r="G1" s="184"/>
      <c r="H1" s="184"/>
      <c r="I1" s="184"/>
      <c r="J1" s="184"/>
      <c r="K1" s="184"/>
      <c r="L1" s="184"/>
      <c r="M1" s="184"/>
      <c r="N1" s="184"/>
      <c r="O1" s="184"/>
      <c r="P1" s="184"/>
      <c r="Q1" s="184"/>
      <c r="R1" s="184"/>
      <c r="S1" s="185"/>
    </row>
    <row r="2" spans="1:19" ht="36" customHeight="1">
      <c r="A2" s="44"/>
      <c r="B2" s="21" t="s">
        <v>19</v>
      </c>
      <c r="C2" s="21" t="s">
        <v>820</v>
      </c>
      <c r="D2" s="21" t="s">
        <v>41</v>
      </c>
      <c r="E2" s="21" t="s">
        <v>67</v>
      </c>
      <c r="F2" s="21" t="s">
        <v>49</v>
      </c>
      <c r="G2" s="21" t="s">
        <v>821</v>
      </c>
      <c r="H2" s="21" t="s">
        <v>823</v>
      </c>
      <c r="I2" s="21" t="s">
        <v>824</v>
      </c>
      <c r="J2" s="21" t="s">
        <v>825</v>
      </c>
      <c r="K2" s="21" t="s">
        <v>826</v>
      </c>
      <c r="L2" s="21" t="s">
        <v>827</v>
      </c>
      <c r="M2" s="21" t="s">
        <v>828</v>
      </c>
      <c r="N2" s="46"/>
      <c r="O2" s="43" t="s">
        <v>829</v>
      </c>
      <c r="P2" s="43" t="s">
        <v>820</v>
      </c>
      <c r="Q2" s="43" t="s">
        <v>830</v>
      </c>
      <c r="R2" s="43" t="s">
        <v>831</v>
      </c>
      <c r="S2" s="47"/>
    </row>
    <row r="3" spans="1:19" ht="25.5" customHeight="1">
      <c r="A3" s="44"/>
      <c r="B3" s="22" t="s">
        <v>794</v>
      </c>
      <c r="C3" s="23">
        <v>50</v>
      </c>
      <c r="D3" s="23">
        <v>34</v>
      </c>
      <c r="E3" s="23">
        <v>10</v>
      </c>
      <c r="F3" s="23">
        <v>6</v>
      </c>
      <c r="G3" s="24">
        <v>5383243</v>
      </c>
      <c r="H3" s="24">
        <v>107664</v>
      </c>
      <c r="I3" s="23">
        <v>72.599999999999994</v>
      </c>
      <c r="J3" s="23">
        <v>20.6</v>
      </c>
      <c r="K3" s="24">
        <v>21856</v>
      </c>
      <c r="L3" s="24">
        <v>168890</v>
      </c>
      <c r="M3" s="25">
        <v>20</v>
      </c>
      <c r="N3" s="46"/>
      <c r="O3" s="41" t="s">
        <v>794</v>
      </c>
      <c r="P3" s="41">
        <v>50</v>
      </c>
      <c r="Q3" s="41">
        <v>72.599999999999994</v>
      </c>
      <c r="R3" s="41">
        <v>5383243</v>
      </c>
      <c r="S3" s="47"/>
    </row>
    <row r="4" spans="1:19" ht="25.5" customHeight="1">
      <c r="A4" s="44"/>
      <c r="B4" s="26" t="s">
        <v>793</v>
      </c>
      <c r="C4" s="27">
        <v>62</v>
      </c>
      <c r="D4" s="27">
        <v>40</v>
      </c>
      <c r="E4" s="27">
        <v>12</v>
      </c>
      <c r="F4" s="27">
        <v>10</v>
      </c>
      <c r="G4" s="28">
        <v>7156323</v>
      </c>
      <c r="H4" s="28">
        <v>115424</v>
      </c>
      <c r="I4" s="27">
        <v>67.3</v>
      </c>
      <c r="J4" s="27">
        <v>21.2</v>
      </c>
      <c r="K4" s="28">
        <v>23483</v>
      </c>
      <c r="L4" s="28">
        <v>177458</v>
      </c>
      <c r="M4" s="29">
        <v>19.399999999999999</v>
      </c>
      <c r="N4" s="46"/>
      <c r="O4" s="41" t="s">
        <v>793</v>
      </c>
      <c r="P4" s="41">
        <v>62</v>
      </c>
      <c r="Q4" s="41">
        <v>67.3</v>
      </c>
      <c r="R4" s="41">
        <v>7156323</v>
      </c>
      <c r="S4" s="47"/>
    </row>
    <row r="5" spans="1:19" ht="25.5" customHeight="1">
      <c r="A5" s="44"/>
      <c r="B5" s="30" t="s">
        <v>53</v>
      </c>
      <c r="C5" s="23">
        <v>64</v>
      </c>
      <c r="D5" s="23">
        <v>47</v>
      </c>
      <c r="E5" s="23">
        <v>7</v>
      </c>
      <c r="F5" s="23">
        <v>10</v>
      </c>
      <c r="G5" s="24">
        <v>7051671</v>
      </c>
      <c r="H5" s="24">
        <v>110182</v>
      </c>
      <c r="I5" s="23">
        <v>73.099999999999994</v>
      </c>
      <c r="J5" s="23">
        <v>20.8</v>
      </c>
      <c r="K5" s="24">
        <v>41742</v>
      </c>
      <c r="L5" s="24">
        <v>188753</v>
      </c>
      <c r="M5" s="25">
        <v>10.9</v>
      </c>
      <c r="N5" s="46"/>
      <c r="O5" s="41" t="s">
        <v>53</v>
      </c>
      <c r="P5" s="41">
        <v>64</v>
      </c>
      <c r="Q5" s="41">
        <v>73.099999999999994</v>
      </c>
      <c r="R5" s="41">
        <v>7051671</v>
      </c>
      <c r="S5" s="47"/>
    </row>
    <row r="6" spans="1:19" ht="25.5" customHeight="1">
      <c r="A6" s="44"/>
      <c r="B6" s="31" t="s">
        <v>795</v>
      </c>
      <c r="C6" s="27">
        <v>57</v>
      </c>
      <c r="D6" s="27">
        <v>37</v>
      </c>
      <c r="E6" s="27">
        <v>12</v>
      </c>
      <c r="F6" s="27">
        <v>8</v>
      </c>
      <c r="G6" s="28">
        <v>5813774</v>
      </c>
      <c r="H6" s="28">
        <v>101996</v>
      </c>
      <c r="I6" s="27">
        <v>73.099999999999994</v>
      </c>
      <c r="J6" s="27">
        <v>20.2</v>
      </c>
      <c r="K6" s="28">
        <v>21763</v>
      </c>
      <c r="L6" s="28">
        <v>182789</v>
      </c>
      <c r="M6" s="29">
        <v>21.1</v>
      </c>
      <c r="N6" s="46"/>
      <c r="O6" s="41" t="s">
        <v>795</v>
      </c>
      <c r="P6" s="41">
        <v>57</v>
      </c>
      <c r="Q6" s="41">
        <v>73.099999999999994</v>
      </c>
      <c r="R6" s="41">
        <v>5813774</v>
      </c>
      <c r="S6" s="47"/>
    </row>
    <row r="7" spans="1:19" ht="25.5" customHeight="1">
      <c r="A7" s="44"/>
      <c r="B7" s="32" t="s">
        <v>797</v>
      </c>
      <c r="C7" s="23">
        <v>57</v>
      </c>
      <c r="D7" s="23">
        <v>35</v>
      </c>
      <c r="E7" s="23">
        <v>8</v>
      </c>
      <c r="F7" s="23">
        <v>14</v>
      </c>
      <c r="G7" s="24">
        <v>6033632</v>
      </c>
      <c r="H7" s="24">
        <v>105853</v>
      </c>
      <c r="I7" s="23">
        <v>69.5</v>
      </c>
      <c r="J7" s="23">
        <v>20.7</v>
      </c>
      <c r="K7" s="24">
        <v>49147</v>
      </c>
      <c r="L7" s="24">
        <v>175346</v>
      </c>
      <c r="M7" s="25">
        <v>14</v>
      </c>
      <c r="N7" s="46"/>
      <c r="O7" s="41" t="s">
        <v>797</v>
      </c>
      <c r="P7" s="41">
        <v>57</v>
      </c>
      <c r="Q7" s="41">
        <v>69.5</v>
      </c>
      <c r="R7" s="41">
        <v>6033632</v>
      </c>
      <c r="S7" s="47"/>
    </row>
    <row r="8" spans="1:19" ht="25.5" customHeight="1" thickBot="1">
      <c r="A8" s="44"/>
      <c r="B8" s="33" t="s">
        <v>796</v>
      </c>
      <c r="C8" s="27">
        <v>60</v>
      </c>
      <c r="D8" s="27">
        <v>32</v>
      </c>
      <c r="E8" s="27">
        <v>14</v>
      </c>
      <c r="F8" s="27">
        <v>14</v>
      </c>
      <c r="G8" s="28">
        <v>6453031</v>
      </c>
      <c r="H8" s="28">
        <v>107550</v>
      </c>
      <c r="I8" s="27">
        <v>67.7</v>
      </c>
      <c r="J8" s="27">
        <v>19.399999999999999</v>
      </c>
      <c r="K8" s="28">
        <v>15525</v>
      </c>
      <c r="L8" s="28">
        <v>179478</v>
      </c>
      <c r="M8" s="29">
        <v>23.3</v>
      </c>
      <c r="N8" s="46"/>
      <c r="O8" s="41" t="s">
        <v>796</v>
      </c>
      <c r="P8" s="41">
        <v>60</v>
      </c>
      <c r="Q8" s="41">
        <v>67.7</v>
      </c>
      <c r="R8" s="41">
        <v>6453031</v>
      </c>
      <c r="S8" s="47"/>
    </row>
    <row r="9" spans="1:19" ht="25.5" customHeight="1" thickBot="1">
      <c r="A9" s="44"/>
      <c r="B9" s="34" t="s">
        <v>832</v>
      </c>
      <c r="C9" s="34">
        <v>350</v>
      </c>
      <c r="D9" s="34">
        <v>225</v>
      </c>
      <c r="E9" s="34">
        <v>63</v>
      </c>
      <c r="F9" s="34">
        <v>62</v>
      </c>
      <c r="G9" s="35">
        <f>SUM(G3,G4,G5,G6,G7,G8)</f>
        <v>37891674</v>
      </c>
      <c r="H9" s="35">
        <v>108261</v>
      </c>
      <c r="I9" s="34">
        <v>70.5</v>
      </c>
      <c r="J9" s="34">
        <v>20.5</v>
      </c>
      <c r="K9" s="35">
        <v>15525</v>
      </c>
      <c r="L9" s="35">
        <v>188753</v>
      </c>
      <c r="M9" s="34">
        <v>18</v>
      </c>
      <c r="N9" s="46"/>
      <c r="O9" s="46"/>
      <c r="P9" s="46"/>
      <c r="Q9" s="46"/>
      <c r="R9" s="46"/>
      <c r="S9" s="47"/>
    </row>
    <row r="10" spans="1:19">
      <c r="A10" s="44"/>
      <c r="B10" s="46"/>
      <c r="C10" s="46"/>
      <c r="D10" s="46"/>
      <c r="E10" s="46"/>
      <c r="F10" s="46"/>
      <c r="G10" s="46"/>
      <c r="H10" s="46"/>
      <c r="I10" s="46"/>
      <c r="J10" s="46"/>
      <c r="K10" s="46"/>
      <c r="L10" s="46"/>
      <c r="M10" s="46"/>
      <c r="N10" s="46"/>
      <c r="O10" s="46"/>
      <c r="P10" s="46"/>
      <c r="Q10" s="46"/>
      <c r="R10" s="46"/>
      <c r="S10" s="47"/>
    </row>
    <row r="11" spans="1:19" ht="19.5" customHeight="1">
      <c r="A11" s="44"/>
      <c r="B11" s="48"/>
      <c r="C11" s="48"/>
      <c r="D11" s="48"/>
      <c r="E11" s="48"/>
      <c r="F11" s="48"/>
      <c r="G11" s="48"/>
      <c r="H11" s="48"/>
      <c r="I11" s="48"/>
      <c r="J11" s="48"/>
      <c r="K11" s="48"/>
      <c r="L11" s="48"/>
      <c r="M11" s="48"/>
      <c r="N11" s="48"/>
      <c r="O11" s="48"/>
      <c r="P11" s="48"/>
      <c r="Q11" s="48"/>
      <c r="R11" s="48"/>
      <c r="S11" s="49"/>
    </row>
    <row r="12" spans="1:19">
      <c r="A12" s="44"/>
      <c r="B12" s="46"/>
      <c r="C12" s="46"/>
      <c r="D12" s="46"/>
      <c r="E12" s="46"/>
      <c r="F12" s="46"/>
      <c r="G12" s="46"/>
      <c r="H12" s="46"/>
      <c r="I12" s="46"/>
      <c r="J12" s="46"/>
      <c r="K12" s="46"/>
      <c r="L12" s="46"/>
      <c r="M12" s="46"/>
      <c r="N12" s="46"/>
      <c r="O12" s="46"/>
      <c r="P12" s="46"/>
      <c r="Q12" s="46"/>
      <c r="R12" s="46"/>
      <c r="S12" s="47"/>
    </row>
    <row r="13" spans="1:19">
      <c r="A13" s="44"/>
      <c r="B13" s="46"/>
      <c r="C13" s="46"/>
      <c r="D13" s="46"/>
      <c r="E13" s="46"/>
      <c r="F13" s="46"/>
      <c r="G13" s="46"/>
      <c r="H13" s="46"/>
      <c r="I13" s="46"/>
      <c r="J13" s="46"/>
      <c r="K13" s="46"/>
      <c r="L13" s="46"/>
      <c r="M13" s="46"/>
      <c r="N13" s="46"/>
      <c r="O13" s="46"/>
      <c r="P13" s="46"/>
      <c r="Q13" s="46"/>
      <c r="R13" s="46"/>
      <c r="S13" s="47"/>
    </row>
    <row r="14" spans="1:19">
      <c r="A14" s="44"/>
      <c r="B14" s="46"/>
      <c r="C14" s="46"/>
      <c r="D14" s="46"/>
      <c r="E14" s="46"/>
      <c r="F14" s="46"/>
      <c r="G14" s="46"/>
      <c r="H14" s="46"/>
      <c r="I14" s="46"/>
      <c r="J14" s="46"/>
      <c r="K14" s="46"/>
      <c r="L14" s="46"/>
      <c r="M14" s="46"/>
      <c r="N14" s="46"/>
      <c r="O14" s="46"/>
      <c r="P14" s="46"/>
      <c r="Q14" s="46"/>
      <c r="R14" s="46"/>
      <c r="S14" s="47"/>
    </row>
    <row r="15" spans="1:19">
      <c r="A15" s="44"/>
      <c r="B15" s="46"/>
      <c r="C15" s="46"/>
      <c r="D15" s="46"/>
      <c r="E15" s="46"/>
      <c r="F15" s="46"/>
      <c r="G15" s="46"/>
      <c r="H15" s="46"/>
      <c r="I15" s="46"/>
      <c r="J15" s="46"/>
      <c r="K15" s="46"/>
      <c r="L15" s="46"/>
      <c r="M15" s="46"/>
      <c r="N15" s="46"/>
      <c r="O15" s="46"/>
      <c r="P15" s="46"/>
      <c r="Q15" s="46"/>
      <c r="R15" s="46"/>
      <c r="S15" s="47"/>
    </row>
    <row r="16" spans="1:19">
      <c r="A16" s="44"/>
      <c r="B16" s="46"/>
      <c r="C16" s="46"/>
      <c r="D16" s="46"/>
      <c r="E16" s="46"/>
      <c r="F16" s="46"/>
      <c r="G16" s="46"/>
      <c r="H16" s="46"/>
      <c r="I16" s="46"/>
      <c r="J16" s="46"/>
      <c r="K16" s="46"/>
      <c r="L16" s="46"/>
      <c r="M16" s="46"/>
      <c r="N16" s="46"/>
      <c r="O16" s="46"/>
      <c r="P16" s="46"/>
      <c r="Q16" s="46"/>
      <c r="R16" s="46"/>
      <c r="S16" s="47"/>
    </row>
    <row r="17" spans="1:19">
      <c r="A17" s="44"/>
      <c r="B17" s="46"/>
      <c r="C17" s="46"/>
      <c r="D17" s="46"/>
      <c r="E17" s="46"/>
      <c r="F17" s="46"/>
      <c r="G17" s="46"/>
      <c r="H17" s="46"/>
      <c r="I17" s="46"/>
      <c r="J17" s="46"/>
      <c r="K17" s="46"/>
      <c r="L17" s="46"/>
      <c r="M17" s="46"/>
      <c r="N17" s="46"/>
      <c r="O17" s="46"/>
      <c r="P17" s="46"/>
      <c r="Q17" s="46"/>
      <c r="R17" s="46"/>
      <c r="S17" s="47"/>
    </row>
    <row r="18" spans="1:19">
      <c r="A18" s="44"/>
      <c r="B18" s="46"/>
      <c r="C18" s="46"/>
      <c r="D18" s="46"/>
      <c r="E18" s="46"/>
      <c r="F18" s="46"/>
      <c r="G18" s="46"/>
      <c r="H18" s="46"/>
      <c r="I18" s="46"/>
      <c r="J18" s="46"/>
      <c r="K18" s="46"/>
      <c r="L18" s="46"/>
      <c r="M18" s="46"/>
      <c r="N18" s="46"/>
      <c r="O18" s="46"/>
      <c r="P18" s="46"/>
      <c r="Q18" s="46"/>
      <c r="R18" s="46"/>
      <c r="S18" s="47"/>
    </row>
    <row r="19" spans="1:19">
      <c r="A19" s="44"/>
      <c r="B19" s="46"/>
      <c r="C19" s="46"/>
      <c r="D19" s="46"/>
      <c r="E19" s="46"/>
      <c r="F19" s="46"/>
      <c r="G19" s="46"/>
      <c r="H19" s="46"/>
      <c r="I19" s="46"/>
      <c r="J19" s="46"/>
      <c r="K19" s="46"/>
      <c r="L19" s="46"/>
      <c r="M19" s="46"/>
      <c r="N19" s="46"/>
      <c r="O19" s="46"/>
      <c r="P19" s="46"/>
      <c r="Q19" s="46"/>
      <c r="R19" s="46"/>
      <c r="S19" s="47"/>
    </row>
    <row r="20" spans="1:19">
      <c r="A20" s="44"/>
      <c r="B20" s="46"/>
      <c r="C20" s="46"/>
      <c r="D20" s="46"/>
      <c r="E20" s="46"/>
      <c r="F20" s="46"/>
      <c r="G20" s="46"/>
      <c r="H20" s="46"/>
      <c r="I20" s="46"/>
      <c r="J20" s="46"/>
      <c r="K20" s="46"/>
      <c r="L20" s="46"/>
      <c r="M20" s="46"/>
      <c r="N20" s="46"/>
      <c r="O20" s="46"/>
      <c r="P20" s="46"/>
      <c r="Q20" s="46"/>
      <c r="R20" s="46"/>
      <c r="S20" s="47"/>
    </row>
    <row r="21" spans="1:19">
      <c r="A21" s="44"/>
      <c r="B21" s="46"/>
      <c r="C21" s="46"/>
      <c r="D21" s="46"/>
      <c r="E21" s="46"/>
      <c r="F21" s="46"/>
      <c r="G21" s="46"/>
      <c r="H21" s="46"/>
      <c r="I21" s="46"/>
      <c r="J21" s="46"/>
      <c r="K21" s="46"/>
      <c r="L21" s="46"/>
      <c r="M21" s="46"/>
      <c r="N21" s="46"/>
      <c r="O21" s="46"/>
      <c r="P21" s="46"/>
      <c r="Q21" s="46"/>
      <c r="R21" s="46"/>
      <c r="S21" s="47"/>
    </row>
    <row r="22" spans="1:19">
      <c r="A22" s="44"/>
      <c r="B22" s="46"/>
      <c r="C22" s="46"/>
      <c r="D22" s="46"/>
      <c r="E22" s="46"/>
      <c r="F22" s="46"/>
      <c r="G22" s="46"/>
      <c r="H22" s="46"/>
      <c r="I22" s="46"/>
      <c r="J22" s="46"/>
      <c r="K22" s="46"/>
      <c r="L22" s="46"/>
      <c r="M22" s="46"/>
      <c r="N22" s="46"/>
      <c r="O22" s="46"/>
      <c r="P22" s="46"/>
      <c r="Q22" s="46"/>
      <c r="R22" s="46"/>
      <c r="S22" s="47"/>
    </row>
    <row r="23" spans="1:19">
      <c r="A23" s="44"/>
      <c r="B23" s="46"/>
      <c r="C23" s="46"/>
      <c r="D23" s="46"/>
      <c r="E23" s="46"/>
      <c r="F23" s="46"/>
      <c r="G23" s="46"/>
      <c r="H23" s="46"/>
      <c r="I23" s="46"/>
      <c r="J23" s="46"/>
      <c r="K23" s="46"/>
      <c r="L23" s="46"/>
      <c r="M23" s="46"/>
      <c r="N23" s="46"/>
      <c r="O23" s="46"/>
      <c r="P23" s="46"/>
      <c r="Q23" s="46"/>
      <c r="R23" s="46"/>
      <c r="S23" s="47"/>
    </row>
    <row r="24" spans="1:19">
      <c r="A24" s="44"/>
      <c r="B24" s="46"/>
      <c r="C24" s="46"/>
      <c r="D24" s="46"/>
      <c r="E24" s="46"/>
      <c r="F24" s="46"/>
      <c r="G24" s="46"/>
      <c r="H24" s="46"/>
      <c r="I24" s="46"/>
      <c r="J24" s="46"/>
      <c r="K24" s="46"/>
      <c r="L24" s="46"/>
      <c r="M24" s="46"/>
      <c r="N24" s="46"/>
      <c r="O24" s="46"/>
      <c r="P24" s="46"/>
      <c r="Q24" s="46"/>
      <c r="R24" s="46"/>
      <c r="S24" s="47"/>
    </row>
    <row r="25" spans="1:19">
      <c r="A25" s="44"/>
      <c r="B25" s="46"/>
      <c r="C25" s="46"/>
      <c r="D25" s="46"/>
      <c r="E25" s="46"/>
      <c r="F25" s="46"/>
      <c r="G25" s="46"/>
      <c r="H25" s="46"/>
      <c r="I25" s="46"/>
      <c r="J25" s="46"/>
      <c r="K25" s="46"/>
      <c r="L25" s="46"/>
      <c r="M25" s="46"/>
      <c r="N25" s="46"/>
      <c r="O25" s="46"/>
      <c r="P25" s="46"/>
      <c r="Q25" s="46"/>
      <c r="R25" s="46"/>
      <c r="S25" s="47"/>
    </row>
    <row r="26" spans="1:19">
      <c r="A26" s="44"/>
      <c r="B26" s="46"/>
      <c r="C26" s="46"/>
      <c r="D26" s="46"/>
      <c r="E26" s="46"/>
      <c r="F26" s="46"/>
      <c r="G26" s="46"/>
      <c r="H26" s="46"/>
      <c r="I26" s="46"/>
      <c r="J26" s="46"/>
      <c r="K26" s="46"/>
      <c r="L26" s="46"/>
      <c r="M26" s="46"/>
      <c r="N26" s="46"/>
      <c r="O26" s="46"/>
      <c r="P26" s="46"/>
      <c r="Q26" s="46"/>
      <c r="R26" s="46"/>
      <c r="S26" s="47"/>
    </row>
    <row r="27" spans="1:19">
      <c r="A27" s="44"/>
      <c r="B27" s="46"/>
      <c r="C27" s="46"/>
      <c r="D27" s="46"/>
      <c r="E27" s="46"/>
      <c r="F27" s="46"/>
      <c r="G27" s="46"/>
      <c r="H27" s="46"/>
      <c r="I27" s="46"/>
      <c r="J27" s="46"/>
      <c r="K27" s="46"/>
      <c r="L27" s="46"/>
      <c r="M27" s="46"/>
      <c r="N27" s="46"/>
      <c r="O27" s="46"/>
      <c r="P27" s="46"/>
      <c r="Q27" s="46"/>
      <c r="R27" s="46"/>
      <c r="S27" s="47"/>
    </row>
    <row r="28" spans="1:19">
      <c r="A28" s="44"/>
      <c r="B28" s="46"/>
      <c r="C28" s="46"/>
      <c r="D28" s="46"/>
      <c r="E28" s="46"/>
      <c r="F28" s="46"/>
      <c r="G28" s="46"/>
      <c r="H28" s="46"/>
      <c r="I28" s="46"/>
      <c r="J28" s="46"/>
      <c r="K28" s="46"/>
      <c r="L28" s="46"/>
      <c r="M28" s="46"/>
      <c r="N28" s="46"/>
      <c r="O28" s="46"/>
      <c r="P28" s="46"/>
      <c r="Q28" s="46"/>
      <c r="R28" s="46"/>
      <c r="S28" s="47"/>
    </row>
    <row r="29" spans="1:19">
      <c r="A29" s="44"/>
      <c r="B29" s="46"/>
      <c r="C29" s="46"/>
      <c r="D29" s="46"/>
      <c r="E29" s="46"/>
      <c r="F29" s="46"/>
      <c r="G29" s="46"/>
      <c r="H29" s="46"/>
      <c r="I29" s="46"/>
      <c r="J29" s="46"/>
      <c r="K29" s="46"/>
      <c r="L29" s="46"/>
      <c r="M29" s="46"/>
      <c r="N29" s="46"/>
      <c r="O29" s="46"/>
      <c r="P29" s="46"/>
      <c r="Q29" s="46"/>
      <c r="R29" s="46"/>
      <c r="S29" s="47"/>
    </row>
    <row r="30" spans="1:19">
      <c r="A30" s="44"/>
      <c r="B30" s="46"/>
      <c r="C30" s="46"/>
      <c r="D30" s="46"/>
      <c r="E30" s="46"/>
      <c r="F30" s="46"/>
      <c r="G30" s="46"/>
      <c r="H30" s="46"/>
      <c r="I30" s="46"/>
      <c r="J30" s="46"/>
      <c r="K30" s="46"/>
      <c r="L30" s="46"/>
      <c r="M30" s="46"/>
      <c r="N30" s="46"/>
      <c r="O30" s="46"/>
      <c r="P30" s="46"/>
      <c r="Q30" s="46"/>
      <c r="R30" s="46"/>
      <c r="S30" s="47"/>
    </row>
    <row r="31" spans="1:19">
      <c r="A31" s="44"/>
      <c r="B31" s="46"/>
      <c r="C31" s="46"/>
      <c r="D31" s="46"/>
      <c r="E31" s="46"/>
      <c r="F31" s="46"/>
      <c r="G31" s="46"/>
      <c r="H31" s="46"/>
      <c r="I31" s="46"/>
      <c r="J31" s="46"/>
      <c r="K31" s="46"/>
      <c r="L31" s="46"/>
      <c r="M31" s="46"/>
      <c r="N31" s="46"/>
      <c r="O31" s="46"/>
      <c r="P31" s="46"/>
      <c r="Q31" s="46"/>
      <c r="R31" s="46"/>
      <c r="S31" s="47"/>
    </row>
    <row r="32" spans="1:19">
      <c r="A32" s="44"/>
      <c r="B32" s="46"/>
      <c r="C32" s="46"/>
      <c r="D32" s="46"/>
      <c r="E32" s="46"/>
      <c r="F32" s="46"/>
      <c r="G32" s="46"/>
      <c r="H32" s="46"/>
      <c r="I32" s="46"/>
      <c r="J32" s="46"/>
      <c r="K32" s="46"/>
      <c r="L32" s="46"/>
      <c r="M32" s="46"/>
      <c r="N32" s="46"/>
      <c r="O32" s="46"/>
      <c r="P32" s="46"/>
      <c r="Q32" s="46"/>
      <c r="R32" s="46"/>
      <c r="S32" s="47"/>
    </row>
    <row r="33" spans="1:19">
      <c r="A33" s="44"/>
      <c r="B33" s="46"/>
      <c r="C33" s="46"/>
      <c r="D33" s="46"/>
      <c r="E33" s="46"/>
      <c r="F33" s="46"/>
      <c r="G33" s="46"/>
      <c r="H33" s="46"/>
      <c r="I33" s="46"/>
      <c r="J33" s="46"/>
      <c r="K33" s="46"/>
      <c r="L33" s="46"/>
      <c r="M33" s="46"/>
      <c r="N33" s="46"/>
      <c r="O33" s="46"/>
      <c r="P33" s="46"/>
      <c r="Q33" s="46"/>
      <c r="R33" s="46"/>
      <c r="S33" s="47"/>
    </row>
    <row r="34" spans="1:19">
      <c r="A34" s="44"/>
      <c r="B34" s="46"/>
      <c r="C34" s="46"/>
      <c r="D34" s="46"/>
      <c r="E34" s="46"/>
      <c r="F34" s="46"/>
      <c r="G34" s="46"/>
      <c r="H34" s="46"/>
      <c r="I34" s="46"/>
      <c r="J34" s="46"/>
      <c r="K34" s="46"/>
      <c r="L34" s="46"/>
      <c r="M34" s="46"/>
      <c r="N34" s="46"/>
      <c r="O34" s="46"/>
      <c r="P34" s="46"/>
      <c r="Q34" s="46"/>
      <c r="R34" s="46"/>
      <c r="S34" s="47"/>
    </row>
    <row r="35" spans="1:19">
      <c r="A35" s="44"/>
      <c r="B35" s="46"/>
      <c r="C35" s="46"/>
      <c r="D35" s="46"/>
      <c r="E35" s="46"/>
      <c r="F35" s="46"/>
      <c r="G35" s="46"/>
      <c r="H35" s="46"/>
      <c r="I35" s="46"/>
      <c r="J35" s="46"/>
      <c r="K35" s="46"/>
      <c r="L35" s="46"/>
      <c r="M35" s="46"/>
      <c r="N35" s="46"/>
      <c r="O35" s="46"/>
      <c r="P35" s="46"/>
      <c r="Q35" s="46"/>
      <c r="R35" s="46"/>
      <c r="S35" s="47"/>
    </row>
    <row r="36" spans="1:19">
      <c r="A36" s="44"/>
      <c r="B36" s="46"/>
      <c r="C36" s="46"/>
      <c r="D36" s="46"/>
      <c r="E36" s="46"/>
      <c r="F36" s="46"/>
      <c r="G36" s="46"/>
      <c r="H36" s="46"/>
      <c r="I36" s="46"/>
      <c r="J36" s="46"/>
      <c r="K36" s="46"/>
      <c r="L36" s="46"/>
      <c r="M36" s="46"/>
      <c r="N36" s="46"/>
      <c r="O36" s="46"/>
      <c r="P36" s="46"/>
      <c r="Q36" s="46"/>
      <c r="R36" s="46"/>
      <c r="S36" s="47"/>
    </row>
    <row r="37" spans="1:19">
      <c r="A37" s="44"/>
      <c r="B37" s="46"/>
      <c r="C37" s="46"/>
      <c r="D37" s="46"/>
      <c r="E37" s="46"/>
      <c r="F37" s="46"/>
      <c r="G37" s="46"/>
      <c r="H37" s="46"/>
      <c r="I37" s="46"/>
      <c r="J37" s="46"/>
      <c r="K37" s="46"/>
      <c r="L37" s="46"/>
      <c r="M37" s="46"/>
      <c r="N37" s="46"/>
      <c r="O37" s="46"/>
      <c r="P37" s="46"/>
      <c r="Q37" s="46"/>
      <c r="R37" s="46"/>
      <c r="S37" s="47"/>
    </row>
    <row r="38" spans="1:19">
      <c r="A38" s="44"/>
      <c r="B38" s="46"/>
      <c r="C38" s="46"/>
      <c r="D38" s="46"/>
      <c r="E38" s="46"/>
      <c r="F38" s="46"/>
      <c r="G38" s="46"/>
      <c r="H38" s="46"/>
      <c r="I38" s="46"/>
      <c r="J38" s="46"/>
      <c r="K38" s="46"/>
      <c r="L38" s="46"/>
      <c r="M38" s="46"/>
      <c r="N38" s="46"/>
      <c r="O38" s="46"/>
      <c r="P38" s="46"/>
      <c r="Q38" s="46"/>
      <c r="R38" s="46"/>
      <c r="S38" s="47"/>
    </row>
    <row r="39" spans="1:19" ht="34.799999999999997" customHeight="1" thickBot="1">
      <c r="A39" s="45"/>
      <c r="B39" s="50"/>
      <c r="C39" s="50"/>
      <c r="D39" s="50"/>
      <c r="E39" s="50"/>
      <c r="F39" s="50"/>
      <c r="G39" s="50"/>
      <c r="H39" s="50"/>
      <c r="I39" s="50"/>
      <c r="J39" s="50"/>
      <c r="K39" s="50"/>
      <c r="L39" s="50"/>
      <c r="M39" s="50"/>
      <c r="N39" s="50"/>
      <c r="O39" s="50"/>
      <c r="P39" s="50"/>
      <c r="Q39" s="50"/>
      <c r="R39" s="50"/>
      <c r="S39" s="51"/>
    </row>
  </sheetData>
  <mergeCells count="1">
    <mergeCell ref="A1:S1"/>
  </mergeCells>
  <pageMargins left="0.75" right="0.75" top="1" bottom="1" header="0.511811023622047" footer="0.511811023622047"/>
  <pageSetup paperSize="9" orientation="portrait" horizontalDpi="300" verticalDpi="30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W87"/>
  <sheetViews>
    <sheetView showGridLines="0" tabSelected="1" topLeftCell="A3" zoomScale="81" zoomScaleNormal="70" workbookViewId="0">
      <selection activeCell="A3" sqref="A3"/>
    </sheetView>
  </sheetViews>
  <sheetFormatPr defaultColWidth="8.6640625" defaultRowHeight="14.4"/>
  <cols>
    <col min="1" max="1" width="33.6640625" customWidth="1"/>
    <col min="2" max="2" width="22.109375" customWidth="1"/>
    <col min="3" max="4" width="14" customWidth="1"/>
    <col min="5" max="5" width="2.88671875" customWidth="1"/>
    <col min="6" max="7" width="14" customWidth="1"/>
    <col min="8" max="8" width="3.44140625" customWidth="1"/>
    <col min="9" max="10" width="14" customWidth="1"/>
    <col min="11" max="11" width="2.5546875" customWidth="1"/>
    <col min="12" max="13" width="14" customWidth="1"/>
    <col min="14" max="14" width="2.33203125" customWidth="1"/>
    <col min="15" max="16" width="14" customWidth="1"/>
    <col min="17" max="17" width="2" customWidth="1"/>
    <col min="18" max="18" width="23.77734375" customWidth="1"/>
    <col min="19" max="19" width="21.6640625" customWidth="1"/>
  </cols>
  <sheetData>
    <row r="1" spans="1:22" ht="19.5" customHeight="1">
      <c r="A1" s="75"/>
      <c r="B1" s="76"/>
      <c r="C1" s="76"/>
      <c r="D1" s="76"/>
      <c r="E1" s="76"/>
      <c r="F1" s="76"/>
      <c r="G1" s="76"/>
      <c r="H1" s="76"/>
      <c r="I1" s="76"/>
      <c r="J1" s="76"/>
      <c r="K1" s="76"/>
      <c r="L1" s="76"/>
      <c r="M1" s="76"/>
      <c r="N1" s="76"/>
      <c r="O1" s="76"/>
      <c r="P1" s="76"/>
      <c r="Q1" s="76"/>
      <c r="R1" s="76"/>
      <c r="S1" s="77"/>
    </row>
    <row r="2" spans="1:22" ht="36" customHeight="1">
      <c r="A2" s="78"/>
      <c r="B2" s="1"/>
      <c r="C2" s="151" t="s">
        <v>798</v>
      </c>
      <c r="D2" s="151"/>
      <c r="E2" s="151"/>
      <c r="F2" s="151"/>
      <c r="G2" s="151"/>
      <c r="H2" s="151"/>
      <c r="I2" s="151"/>
      <c r="J2" s="151"/>
      <c r="K2" s="151"/>
      <c r="L2" s="151"/>
      <c r="M2" s="151"/>
      <c r="N2" s="151"/>
      <c r="O2" s="151"/>
      <c r="P2" s="151"/>
      <c r="Q2" s="1"/>
      <c r="R2" s="1"/>
      <c r="S2" s="79"/>
    </row>
    <row r="3" spans="1:22" ht="19.5" customHeight="1" thickBot="1">
      <c r="A3" s="95"/>
      <c r="B3" s="96"/>
      <c r="C3" s="96"/>
      <c r="D3" s="96"/>
      <c r="E3" s="96"/>
      <c r="F3" s="96"/>
      <c r="G3" s="96"/>
      <c r="H3" s="96"/>
      <c r="I3" s="96"/>
      <c r="J3" s="96"/>
      <c r="K3" s="96"/>
      <c r="L3" s="96"/>
      <c r="M3" s="96"/>
      <c r="N3" s="96"/>
      <c r="O3" s="96"/>
      <c r="P3" s="96"/>
      <c r="Q3" s="96"/>
      <c r="R3" s="96"/>
      <c r="S3" s="97"/>
    </row>
    <row r="4" spans="1:22" ht="19.5" customHeight="1">
      <c r="A4" s="80"/>
      <c r="B4" s="81"/>
      <c r="C4" s="98"/>
      <c r="D4" s="98"/>
      <c r="E4" s="98"/>
      <c r="F4" s="98"/>
      <c r="G4" s="98"/>
      <c r="H4" s="98"/>
      <c r="I4" s="98"/>
      <c r="J4" s="98"/>
      <c r="K4" s="98"/>
      <c r="L4" s="98"/>
      <c r="M4" s="98"/>
      <c r="N4" s="98"/>
      <c r="O4" s="98"/>
      <c r="P4" s="98"/>
      <c r="Q4" s="98"/>
      <c r="S4" s="82"/>
    </row>
    <row r="5" spans="1:22" ht="13.5" customHeight="1" thickBot="1">
      <c r="A5" s="80"/>
      <c r="B5" s="81"/>
      <c r="C5" s="98"/>
      <c r="D5" s="98"/>
      <c r="E5" s="98"/>
      <c r="F5" s="98"/>
      <c r="G5" s="98"/>
      <c r="H5" s="98"/>
      <c r="I5" s="98"/>
      <c r="J5" s="98"/>
      <c r="K5" s="98"/>
      <c r="L5" s="98"/>
      <c r="M5" s="98"/>
      <c r="N5" s="98"/>
      <c r="O5" s="98"/>
      <c r="P5" s="98"/>
      <c r="Q5" s="98"/>
      <c r="S5" s="82"/>
    </row>
    <row r="6" spans="1:22" ht="18" customHeight="1">
      <c r="A6" s="80"/>
      <c r="B6" s="83"/>
      <c r="C6" s="152" t="s">
        <v>799</v>
      </c>
      <c r="D6" s="153"/>
      <c r="F6" s="154" t="s">
        <v>800</v>
      </c>
      <c r="G6" s="155"/>
      <c r="H6" s="84"/>
      <c r="I6" s="156" t="s">
        <v>801</v>
      </c>
      <c r="J6" s="157"/>
      <c r="K6" s="84"/>
      <c r="L6" s="158" t="s">
        <v>802</v>
      </c>
      <c r="M6" s="159"/>
      <c r="N6" s="84"/>
      <c r="O6" s="160" t="s">
        <v>803</v>
      </c>
      <c r="P6" s="161"/>
      <c r="Q6" s="83"/>
      <c r="S6" s="82"/>
    </row>
    <row r="7" spans="1:22" ht="25.5" customHeight="1">
      <c r="A7" s="80"/>
      <c r="B7" s="83"/>
      <c r="C7" s="140">
        <f>COUNTA('✅ Clean Data'!A3:A399)</f>
        <v>350</v>
      </c>
      <c r="D7" s="141"/>
      <c r="E7" s="85"/>
      <c r="F7" s="142">
        <f>COUNTIF('✅ Clean Data'!R3:R352,"Active")</f>
        <v>225</v>
      </c>
      <c r="G7" s="143"/>
      <c r="H7" s="85"/>
      <c r="I7" s="144" t="str">
        <f>TEXT(SUM('✅ Clean Data'!N3:N359)/10000000,"₹0.00")&amp;" Cr"</f>
        <v>₹4.11 Cr</v>
      </c>
      <c r="J7" s="145"/>
      <c r="K7" s="85"/>
      <c r="L7" s="146">
        <v>0.70499999999999996</v>
      </c>
      <c r="M7" s="147"/>
      <c r="N7" s="85"/>
      <c r="O7" s="149">
        <f>IFERROR(COUNTIF('✅ Clean Data'!R3:R352,"Resigned")/COUNTA('✅ Clean Data'!A3:A352)*100,0)</f>
        <v>18</v>
      </c>
      <c r="P7" s="150"/>
      <c r="Q7" s="83"/>
      <c r="S7" s="82"/>
    </row>
    <row r="8" spans="1:22" ht="25.5" customHeight="1">
      <c r="A8" s="80"/>
      <c r="B8" s="83"/>
      <c r="C8" s="140"/>
      <c r="D8" s="141"/>
      <c r="E8" s="84"/>
      <c r="F8" s="142"/>
      <c r="G8" s="143"/>
      <c r="H8" s="85"/>
      <c r="I8" s="144"/>
      <c r="J8" s="145"/>
      <c r="K8" s="85"/>
      <c r="L8" s="148"/>
      <c r="M8" s="147"/>
      <c r="N8" s="85"/>
      <c r="O8" s="149"/>
      <c r="P8" s="150"/>
      <c r="Q8" s="83"/>
      <c r="S8" s="82"/>
    </row>
    <row r="9" spans="1:22" ht="18" customHeight="1" thickBot="1">
      <c r="A9" s="80"/>
      <c r="B9" s="83"/>
      <c r="C9" s="130" t="s">
        <v>804</v>
      </c>
      <c r="D9" s="131"/>
      <c r="E9" s="86"/>
      <c r="F9" s="132" t="s">
        <v>805</v>
      </c>
      <c r="G9" s="133"/>
      <c r="H9" s="86"/>
      <c r="I9" s="134" t="s">
        <v>806</v>
      </c>
      <c r="J9" s="135"/>
      <c r="K9" s="86"/>
      <c r="L9" s="136" t="s">
        <v>807</v>
      </c>
      <c r="M9" s="137"/>
      <c r="N9" s="86"/>
      <c r="O9" s="138" t="s">
        <v>67</v>
      </c>
      <c r="P9" s="139"/>
      <c r="Q9" s="83"/>
      <c r="S9" s="82"/>
    </row>
    <row r="10" spans="1:22" ht="13.5" customHeight="1" thickBot="1">
      <c r="A10" s="80"/>
      <c r="B10" s="83"/>
      <c r="C10" s="99"/>
      <c r="D10" s="99"/>
      <c r="E10" s="99"/>
      <c r="F10" s="99"/>
      <c r="G10" s="99"/>
      <c r="H10" s="99"/>
      <c r="I10" s="99"/>
      <c r="J10" s="99"/>
      <c r="K10" s="99"/>
      <c r="L10" s="99"/>
      <c r="M10" s="99"/>
      <c r="N10" s="99"/>
      <c r="O10" s="99"/>
      <c r="P10" s="99"/>
      <c r="Q10" s="83"/>
      <c r="S10" s="82"/>
    </row>
    <row r="11" spans="1:22" ht="18" customHeight="1">
      <c r="A11" s="80"/>
      <c r="B11" s="83"/>
      <c r="C11" s="120" t="s">
        <v>808</v>
      </c>
      <c r="D11" s="121"/>
      <c r="E11" s="84"/>
      <c r="F11" s="122" t="s">
        <v>809</v>
      </c>
      <c r="G11" s="123"/>
      <c r="H11" s="84"/>
      <c r="I11" s="124" t="s">
        <v>810</v>
      </c>
      <c r="J11" s="125"/>
      <c r="K11" s="84"/>
      <c r="L11" s="126" t="s">
        <v>811</v>
      </c>
      <c r="M11" s="127"/>
      <c r="N11" s="84"/>
      <c r="O11" s="128" t="s">
        <v>812</v>
      </c>
      <c r="P11" s="129"/>
      <c r="Q11" s="83"/>
      <c r="S11" s="82"/>
    </row>
    <row r="12" spans="1:22" ht="25.5" customHeight="1">
      <c r="A12" s="80"/>
      <c r="B12" s="83"/>
      <c r="C12" s="110">
        <f>IFERROR(AVERAGEIF('✅ Clean Data'!R3:R352,"Active",'✅ Clean Data'!O3:O352),0)</f>
        <v>20.68</v>
      </c>
      <c r="D12" s="111"/>
      <c r="E12" s="87"/>
      <c r="F12" s="112">
        <v>63</v>
      </c>
      <c r="G12" s="113"/>
      <c r="H12" s="87"/>
      <c r="I12" s="114">
        <v>62</v>
      </c>
      <c r="J12" s="115"/>
      <c r="K12" s="87"/>
      <c r="L12" s="116" t="s">
        <v>813</v>
      </c>
      <c r="M12" s="117"/>
      <c r="N12" s="87"/>
      <c r="O12" s="118" t="s">
        <v>814</v>
      </c>
      <c r="P12" s="119"/>
      <c r="Q12" s="83"/>
      <c r="S12" s="82"/>
    </row>
    <row r="13" spans="1:22" ht="25.5" customHeight="1">
      <c r="A13" s="80"/>
      <c r="B13" s="83"/>
      <c r="C13" s="110"/>
      <c r="D13" s="111"/>
      <c r="E13" s="87"/>
      <c r="F13" s="112"/>
      <c r="G13" s="113"/>
      <c r="H13" s="87"/>
      <c r="I13" s="114"/>
      <c r="J13" s="115"/>
      <c r="K13" s="87"/>
      <c r="L13" s="116"/>
      <c r="M13" s="117"/>
      <c r="N13" s="87"/>
      <c r="O13" s="118"/>
      <c r="P13" s="119"/>
      <c r="Q13" s="83"/>
      <c r="S13" s="82"/>
    </row>
    <row r="14" spans="1:22" ht="18" customHeight="1" thickBot="1">
      <c r="A14" s="80"/>
      <c r="B14" s="83"/>
      <c r="C14" s="100" t="s">
        <v>815</v>
      </c>
      <c r="D14" s="101"/>
      <c r="E14" s="86"/>
      <c r="F14" s="102" t="s">
        <v>816</v>
      </c>
      <c r="G14" s="103"/>
      <c r="H14" s="86"/>
      <c r="I14" s="104" t="s">
        <v>817</v>
      </c>
      <c r="J14" s="105"/>
      <c r="K14" s="86"/>
      <c r="L14" s="106" t="s">
        <v>818</v>
      </c>
      <c r="M14" s="107"/>
      <c r="N14" s="86"/>
      <c r="O14" s="108" t="s">
        <v>819</v>
      </c>
      <c r="P14" s="109"/>
      <c r="Q14" s="83"/>
      <c r="S14" s="82"/>
    </row>
    <row r="15" spans="1:22" ht="19.5" customHeight="1">
      <c r="A15" s="80"/>
      <c r="B15" s="74" t="s">
        <v>798</v>
      </c>
      <c r="C15" s="74"/>
      <c r="D15" s="74"/>
      <c r="E15" s="74"/>
      <c r="F15" s="74"/>
      <c r="G15" s="74"/>
      <c r="H15" s="74"/>
      <c r="I15" s="74"/>
      <c r="J15" s="74"/>
      <c r="K15" s="74"/>
      <c r="L15" s="74"/>
      <c r="M15" s="74"/>
      <c r="N15" s="74"/>
      <c r="O15" s="74"/>
      <c r="P15" s="74"/>
      <c r="Q15" s="74"/>
      <c r="R15" s="74"/>
      <c r="S15" s="88"/>
      <c r="T15" s="74"/>
      <c r="U15" s="74"/>
      <c r="V15" s="74"/>
    </row>
    <row r="16" spans="1:22" ht="27.75" customHeight="1">
      <c r="A16" s="80"/>
      <c r="B16" s="74"/>
      <c r="C16" s="74"/>
      <c r="D16" s="74"/>
      <c r="E16" s="74"/>
      <c r="F16" s="74"/>
      <c r="G16" s="74"/>
      <c r="H16" s="74"/>
      <c r="I16" s="74"/>
      <c r="J16" s="74"/>
      <c r="K16" s="74"/>
      <c r="L16" s="74"/>
      <c r="M16" s="74"/>
      <c r="N16" s="74"/>
      <c r="O16" s="74"/>
      <c r="P16" s="74"/>
      <c r="Q16" s="74"/>
      <c r="R16" s="74"/>
      <c r="S16" s="88"/>
      <c r="T16" s="74"/>
      <c r="U16" s="74"/>
      <c r="V16" s="74"/>
    </row>
    <row r="17" spans="1:22" ht="24" customHeight="1">
      <c r="A17" s="80"/>
      <c r="B17" s="74"/>
      <c r="C17" s="74"/>
      <c r="D17" s="74"/>
      <c r="E17" s="74"/>
      <c r="F17" s="74"/>
      <c r="G17" s="74"/>
      <c r="H17" s="74"/>
      <c r="I17" s="74"/>
      <c r="J17" s="74"/>
      <c r="K17" s="74"/>
      <c r="L17" s="74"/>
      <c r="M17" s="74"/>
      <c r="N17" s="74"/>
      <c r="O17" s="74"/>
      <c r="P17" s="74"/>
      <c r="Q17" s="74"/>
      <c r="R17" s="74"/>
      <c r="S17" s="88"/>
      <c r="T17" s="74"/>
      <c r="U17" s="74"/>
      <c r="V17" s="74"/>
    </row>
    <row r="18" spans="1:22" ht="21.75" customHeight="1">
      <c r="A18" s="80"/>
      <c r="B18" s="74"/>
      <c r="C18" s="74"/>
      <c r="D18" s="74"/>
      <c r="E18" s="74"/>
      <c r="F18" s="74"/>
      <c r="G18" s="74"/>
      <c r="H18" s="74"/>
      <c r="I18" s="74"/>
      <c r="J18" s="74"/>
      <c r="K18" s="74"/>
      <c r="L18" s="74"/>
      <c r="M18" s="74"/>
      <c r="N18" s="74"/>
      <c r="O18" s="74"/>
      <c r="P18" s="74"/>
      <c r="Q18" s="74"/>
      <c r="R18" s="74"/>
      <c r="S18" s="88"/>
      <c r="T18" s="74"/>
      <c r="U18" s="74"/>
      <c r="V18" s="74"/>
    </row>
    <row r="19" spans="1:22" ht="21.75" customHeight="1">
      <c r="A19" s="80"/>
      <c r="B19" s="74"/>
      <c r="C19" s="74"/>
      <c r="D19" s="74"/>
      <c r="E19" s="74"/>
      <c r="F19" s="74"/>
      <c r="G19" s="74"/>
      <c r="H19" s="74"/>
      <c r="I19" s="74"/>
      <c r="J19" s="74"/>
      <c r="K19" s="74"/>
      <c r="L19" s="74"/>
      <c r="M19" s="74"/>
      <c r="N19" s="74"/>
      <c r="O19" s="74"/>
      <c r="P19" s="74"/>
      <c r="Q19" s="74"/>
      <c r="R19" s="74"/>
      <c r="S19" s="88"/>
      <c r="T19" s="74"/>
      <c r="U19" s="74"/>
      <c r="V19" s="74"/>
    </row>
    <row r="20" spans="1:22" ht="21.75" customHeight="1">
      <c r="A20" s="80"/>
      <c r="B20" s="74"/>
      <c r="C20" s="74"/>
      <c r="D20" s="74"/>
      <c r="E20" s="74"/>
      <c r="F20" s="74"/>
      <c r="G20" s="74"/>
      <c r="H20" s="74"/>
      <c r="I20" s="74"/>
      <c r="J20" s="74"/>
      <c r="K20" s="74"/>
      <c r="L20" s="74"/>
      <c r="M20" s="74"/>
      <c r="N20" s="74"/>
      <c r="O20" s="74"/>
      <c r="P20" s="74"/>
      <c r="Q20" s="74"/>
      <c r="R20" s="74"/>
      <c r="S20" s="88"/>
      <c r="T20" s="74"/>
      <c r="U20" s="74"/>
      <c r="V20" s="74"/>
    </row>
    <row r="21" spans="1:22" ht="21.75" customHeight="1">
      <c r="A21" s="80"/>
      <c r="B21" s="74"/>
      <c r="C21" s="74"/>
      <c r="D21" s="74"/>
      <c r="E21" s="74"/>
      <c r="F21" s="74"/>
      <c r="G21" s="74"/>
      <c r="H21" s="74"/>
      <c r="I21" s="74"/>
      <c r="J21" s="74"/>
      <c r="K21" s="74"/>
      <c r="L21" s="74"/>
      <c r="M21" s="74"/>
      <c r="N21" s="74"/>
      <c r="O21" s="74"/>
      <c r="P21" s="74"/>
      <c r="Q21" s="74"/>
      <c r="R21" s="74"/>
      <c r="S21" s="88"/>
      <c r="T21" s="74"/>
      <c r="U21" s="74"/>
      <c r="V21" s="74"/>
    </row>
    <row r="22" spans="1:22" ht="21.75" customHeight="1">
      <c r="A22" s="80"/>
      <c r="B22" s="74"/>
      <c r="C22" s="74"/>
      <c r="D22" s="74"/>
      <c r="E22" s="74"/>
      <c r="F22" s="74"/>
      <c r="G22" s="74"/>
      <c r="H22" s="74"/>
      <c r="I22" s="74"/>
      <c r="J22" s="74"/>
      <c r="K22" s="74"/>
      <c r="L22" s="74"/>
      <c r="M22" s="74"/>
      <c r="N22" s="74"/>
      <c r="O22" s="74"/>
      <c r="P22" s="74"/>
      <c r="Q22" s="74"/>
      <c r="R22" s="74"/>
      <c r="S22" s="88"/>
      <c r="T22" s="74"/>
      <c r="U22" s="74"/>
      <c r="V22" s="74"/>
    </row>
    <row r="23" spans="1:22" ht="21.75" customHeight="1">
      <c r="A23" s="80"/>
      <c r="B23" s="74"/>
      <c r="C23" s="74"/>
      <c r="D23" s="74"/>
      <c r="E23" s="74"/>
      <c r="F23" s="74"/>
      <c r="G23" s="74"/>
      <c r="H23" s="74"/>
      <c r="I23" s="74"/>
      <c r="J23" s="74"/>
      <c r="K23" s="74"/>
      <c r="L23" s="74"/>
      <c r="M23" s="74"/>
      <c r="N23" s="74"/>
      <c r="O23" s="74"/>
      <c r="P23" s="74"/>
      <c r="Q23" s="74"/>
      <c r="R23" s="74"/>
      <c r="S23" s="88"/>
      <c r="T23" s="74"/>
      <c r="U23" s="74"/>
      <c r="V23" s="74"/>
    </row>
    <row r="24" spans="1:22" ht="19.5" customHeight="1">
      <c r="A24" s="80"/>
      <c r="B24" s="74"/>
      <c r="C24" s="74"/>
      <c r="D24" s="74"/>
      <c r="E24" s="74"/>
      <c r="F24" s="74"/>
      <c r="G24" s="74"/>
      <c r="H24" s="74"/>
      <c r="I24" s="74"/>
      <c r="J24" s="74"/>
      <c r="K24" s="74"/>
      <c r="L24" s="74"/>
      <c r="M24" s="74"/>
      <c r="N24" s="74"/>
      <c r="O24" s="74"/>
      <c r="P24" s="74"/>
      <c r="Q24" s="74"/>
      <c r="R24" s="74"/>
      <c r="S24" s="88"/>
      <c r="T24" s="74"/>
      <c r="U24" s="74"/>
      <c r="V24" s="74"/>
    </row>
    <row r="25" spans="1:22" ht="19.5" customHeight="1">
      <c r="A25" s="80"/>
      <c r="B25" s="74"/>
      <c r="C25" s="74"/>
      <c r="D25" s="74"/>
      <c r="E25" s="74"/>
      <c r="F25" s="74"/>
      <c r="G25" s="74"/>
      <c r="H25" s="74"/>
      <c r="I25" s="74"/>
      <c r="J25" s="74"/>
      <c r="K25" s="74"/>
      <c r="L25" s="74"/>
      <c r="M25" s="74"/>
      <c r="N25" s="74"/>
      <c r="O25" s="74"/>
      <c r="P25" s="74"/>
      <c r="Q25" s="74"/>
      <c r="R25" s="74"/>
      <c r="S25" s="88"/>
      <c r="T25" s="74"/>
      <c r="U25" s="74"/>
      <c r="V25" s="74"/>
    </row>
    <row r="26" spans="1:22" ht="25.5" customHeight="1">
      <c r="A26" s="80"/>
      <c r="B26" s="74"/>
      <c r="C26" s="74"/>
      <c r="D26" s="74"/>
      <c r="E26" s="74"/>
      <c r="F26" s="74"/>
      <c r="G26" s="74"/>
      <c r="H26" s="74"/>
      <c r="I26" s="74"/>
      <c r="J26" s="74"/>
      <c r="K26" s="74"/>
      <c r="L26" s="74"/>
      <c r="M26" s="74"/>
      <c r="N26" s="74"/>
      <c r="O26" s="74"/>
      <c r="P26" s="74"/>
      <c r="Q26" s="74"/>
      <c r="R26" s="74"/>
      <c r="S26" s="88"/>
      <c r="T26" s="74"/>
      <c r="U26" s="74"/>
      <c r="V26" s="74"/>
    </row>
    <row r="27" spans="1:22" ht="21.75" customHeight="1">
      <c r="A27" s="80"/>
      <c r="B27" s="74"/>
      <c r="C27" s="74"/>
      <c r="D27" s="74"/>
      <c r="E27" s="74"/>
      <c r="F27" s="74"/>
      <c r="G27" s="74"/>
      <c r="H27" s="74"/>
      <c r="I27" s="74"/>
      <c r="J27" s="74"/>
      <c r="K27" s="74"/>
      <c r="L27" s="74"/>
      <c r="M27" s="74"/>
      <c r="N27" s="74"/>
      <c r="O27" s="74"/>
      <c r="P27" s="74"/>
      <c r="Q27" s="74"/>
      <c r="R27" s="74"/>
      <c r="S27" s="88"/>
      <c r="T27" s="74"/>
      <c r="U27" s="74"/>
      <c r="V27" s="74"/>
    </row>
    <row r="28" spans="1:22" ht="21.75" customHeight="1">
      <c r="A28" s="80"/>
      <c r="B28" s="74"/>
      <c r="C28" s="74"/>
      <c r="D28" s="74"/>
      <c r="E28" s="74"/>
      <c r="F28" s="74"/>
      <c r="G28" s="74"/>
      <c r="H28" s="74"/>
      <c r="I28" s="74"/>
      <c r="J28" s="74"/>
      <c r="K28" s="74"/>
      <c r="L28" s="74"/>
      <c r="M28" s="74"/>
      <c r="N28" s="74"/>
      <c r="O28" s="74"/>
      <c r="P28" s="74"/>
      <c r="Q28" s="74"/>
      <c r="R28" s="74"/>
      <c r="S28" s="88"/>
      <c r="T28" s="74"/>
      <c r="U28" s="74"/>
      <c r="V28" s="74"/>
    </row>
    <row r="29" spans="1:22" ht="21.75" customHeight="1">
      <c r="A29" s="80"/>
      <c r="B29" s="74"/>
      <c r="C29" s="74"/>
      <c r="D29" s="74"/>
      <c r="E29" s="74"/>
      <c r="F29" s="74"/>
      <c r="G29" s="74"/>
      <c r="H29" s="74"/>
      <c r="I29" s="74"/>
      <c r="J29" s="74"/>
      <c r="K29" s="74"/>
      <c r="L29" s="74"/>
      <c r="M29" s="74"/>
      <c r="N29" s="74"/>
      <c r="O29" s="74"/>
      <c r="P29" s="74"/>
      <c r="Q29" s="74"/>
      <c r="R29" s="74"/>
      <c r="S29" s="88"/>
      <c r="T29" s="74"/>
      <c r="U29" s="74"/>
      <c r="V29" s="74"/>
    </row>
    <row r="30" spans="1:22" ht="21.75" customHeight="1">
      <c r="A30" s="80"/>
      <c r="B30" s="74"/>
      <c r="C30" s="74"/>
      <c r="D30" s="74"/>
      <c r="E30" s="74"/>
      <c r="F30" s="74"/>
      <c r="G30" s="74"/>
      <c r="H30" s="74"/>
      <c r="I30" s="74"/>
      <c r="J30" s="74"/>
      <c r="K30" s="74"/>
      <c r="L30" s="74"/>
      <c r="M30" s="74"/>
      <c r="N30" s="74"/>
      <c r="O30" s="74"/>
      <c r="P30" s="74"/>
      <c r="Q30" s="74"/>
      <c r="R30" s="74"/>
      <c r="S30" s="88"/>
      <c r="T30" s="74"/>
      <c r="U30" s="74"/>
      <c r="V30" s="74"/>
    </row>
    <row r="31" spans="1:22" ht="21.75" customHeight="1">
      <c r="A31" s="80"/>
      <c r="B31" s="74"/>
      <c r="C31" s="74"/>
      <c r="D31" s="74"/>
      <c r="E31" s="74"/>
      <c r="F31" s="74"/>
      <c r="G31" s="74"/>
      <c r="H31" s="74"/>
      <c r="I31" s="74"/>
      <c r="J31" s="74"/>
      <c r="K31" s="74"/>
      <c r="L31" s="74"/>
      <c r="M31" s="74"/>
      <c r="N31" s="74"/>
      <c r="O31" s="74"/>
      <c r="P31" s="74"/>
      <c r="Q31" s="74"/>
      <c r="R31" s="74"/>
      <c r="S31" s="88"/>
      <c r="T31" s="74"/>
      <c r="U31" s="74"/>
      <c r="V31" s="74"/>
    </row>
    <row r="32" spans="1:22" ht="21.75" customHeight="1">
      <c r="A32" s="80"/>
      <c r="B32" s="74"/>
      <c r="C32" s="74"/>
      <c r="D32" s="74"/>
      <c r="E32" s="74"/>
      <c r="F32" s="74"/>
      <c r="G32" s="74"/>
      <c r="H32" s="74"/>
      <c r="I32" s="74"/>
      <c r="J32" s="74"/>
      <c r="K32" s="74"/>
      <c r="L32" s="74"/>
      <c r="M32" s="74"/>
      <c r="N32" s="74"/>
      <c r="O32" s="74"/>
      <c r="P32" s="74"/>
      <c r="Q32" s="74"/>
      <c r="R32" s="74"/>
      <c r="S32" s="88"/>
      <c r="T32" s="74"/>
      <c r="U32" s="74"/>
      <c r="V32" s="74"/>
    </row>
    <row r="33" spans="1:22" ht="21.75" customHeight="1">
      <c r="A33" s="80"/>
      <c r="B33" s="74"/>
      <c r="C33" s="74"/>
      <c r="D33" s="74"/>
      <c r="E33" s="74"/>
      <c r="F33" s="74"/>
      <c r="G33" s="74"/>
      <c r="H33" s="74"/>
      <c r="I33" s="74"/>
      <c r="J33" s="74"/>
      <c r="K33" s="74"/>
      <c r="L33" s="74"/>
      <c r="M33" s="74"/>
      <c r="N33" s="74"/>
      <c r="O33" s="74"/>
      <c r="P33" s="74"/>
      <c r="Q33" s="74"/>
      <c r="R33" s="74"/>
      <c r="S33" s="88"/>
      <c r="T33" s="74"/>
      <c r="U33" s="74"/>
      <c r="V33" s="74"/>
    </row>
    <row r="34" spans="1:22" ht="19.5" customHeight="1">
      <c r="A34" s="80"/>
      <c r="B34" s="74"/>
      <c r="C34" s="74"/>
      <c r="D34" s="74"/>
      <c r="E34" s="74"/>
      <c r="F34" s="74"/>
      <c r="G34" s="74"/>
      <c r="H34" s="74"/>
      <c r="I34" s="74"/>
      <c r="J34" s="74"/>
      <c r="K34" s="74"/>
      <c r="L34" s="74"/>
      <c r="M34" s="74"/>
      <c r="N34" s="74"/>
      <c r="O34" s="74"/>
      <c r="P34" s="74"/>
      <c r="Q34" s="74"/>
      <c r="R34" s="74"/>
      <c r="S34" s="88"/>
      <c r="T34" s="74"/>
      <c r="U34" s="74"/>
      <c r="V34" s="74"/>
    </row>
    <row r="35" spans="1:22" ht="19.5" customHeight="1">
      <c r="A35" s="80"/>
      <c r="B35" s="74"/>
      <c r="C35" s="74"/>
      <c r="D35" s="74"/>
      <c r="E35" s="74"/>
      <c r="F35" s="74"/>
      <c r="G35" s="74"/>
      <c r="H35" s="74"/>
      <c r="I35" s="74"/>
      <c r="J35" s="74"/>
      <c r="K35" s="74"/>
      <c r="L35" s="74"/>
      <c r="M35" s="74"/>
      <c r="N35" s="74"/>
      <c r="O35" s="74"/>
      <c r="P35" s="74"/>
      <c r="Q35" s="74"/>
      <c r="R35" s="74"/>
      <c r="S35" s="88"/>
      <c r="T35" s="74"/>
      <c r="U35" s="74"/>
      <c r="V35" s="74"/>
    </row>
    <row r="36" spans="1:22" ht="19.5" customHeight="1">
      <c r="A36" s="80"/>
      <c r="B36" s="74"/>
      <c r="C36" s="74"/>
      <c r="D36" s="74"/>
      <c r="E36" s="74"/>
      <c r="F36" s="74"/>
      <c r="G36" s="74"/>
      <c r="H36" s="74"/>
      <c r="I36" s="74"/>
      <c r="J36" s="74"/>
      <c r="K36" s="74"/>
      <c r="L36" s="74"/>
      <c r="M36" s="74"/>
      <c r="N36" s="74"/>
      <c r="O36" s="74"/>
      <c r="P36" s="74"/>
      <c r="Q36" s="74"/>
      <c r="R36" s="74"/>
      <c r="S36" s="88"/>
      <c r="T36" s="74"/>
      <c r="U36" s="74"/>
      <c r="V36" s="74"/>
    </row>
    <row r="37" spans="1:22" ht="19.5" customHeight="1">
      <c r="A37" s="80"/>
      <c r="B37" s="74"/>
      <c r="C37" s="74"/>
      <c r="D37" s="74"/>
      <c r="E37" s="74"/>
      <c r="F37" s="74"/>
      <c r="G37" s="74"/>
      <c r="H37" s="74"/>
      <c r="I37" s="74"/>
      <c r="J37" s="74"/>
      <c r="K37" s="74"/>
      <c r="L37" s="74"/>
      <c r="M37" s="74"/>
      <c r="N37" s="74"/>
      <c r="O37" s="74"/>
      <c r="P37" s="74"/>
      <c r="Q37" s="74"/>
      <c r="R37" s="74"/>
      <c r="S37" s="88"/>
      <c r="T37" s="74"/>
      <c r="U37" s="74"/>
      <c r="V37" s="74"/>
    </row>
    <row r="38" spans="1:22" ht="19.5" customHeight="1">
      <c r="A38" s="80"/>
      <c r="B38" s="74"/>
      <c r="C38" s="74"/>
      <c r="D38" s="74"/>
      <c r="E38" s="74"/>
      <c r="F38" s="74"/>
      <c r="G38" s="74"/>
      <c r="H38" s="74"/>
      <c r="I38" s="74"/>
      <c r="J38" s="74"/>
      <c r="K38" s="74"/>
      <c r="L38" s="74"/>
      <c r="M38" s="74"/>
      <c r="N38" s="74"/>
      <c r="O38" s="74"/>
      <c r="P38" s="74"/>
      <c r="Q38" s="74"/>
      <c r="R38" s="74"/>
      <c r="S38" s="88"/>
      <c r="T38" s="74"/>
      <c r="U38" s="74"/>
      <c r="V38" s="74"/>
    </row>
    <row r="39" spans="1:22" ht="19.5" customHeight="1">
      <c r="A39" s="80"/>
      <c r="B39" s="74"/>
      <c r="C39" s="74"/>
      <c r="D39" s="74"/>
      <c r="E39" s="74"/>
      <c r="F39" s="74"/>
      <c r="G39" s="74"/>
      <c r="H39" s="74"/>
      <c r="I39" s="74"/>
      <c r="J39" s="74"/>
      <c r="K39" s="74"/>
      <c r="L39" s="74"/>
      <c r="M39" s="74"/>
      <c r="N39" s="74"/>
      <c r="O39" s="74"/>
      <c r="P39" s="74"/>
      <c r="Q39" s="74"/>
      <c r="R39" s="74"/>
      <c r="S39" s="88"/>
      <c r="T39" s="74"/>
      <c r="U39" s="74"/>
      <c r="V39" s="74"/>
    </row>
    <row r="40" spans="1:22" ht="19.5" customHeight="1">
      <c r="A40" s="80"/>
      <c r="B40" s="74"/>
      <c r="C40" s="74"/>
      <c r="D40" s="74"/>
      <c r="E40" s="74"/>
      <c r="F40" s="74"/>
      <c r="G40" s="74"/>
      <c r="H40" s="74"/>
      <c r="I40" s="74"/>
      <c r="J40" s="74"/>
      <c r="K40" s="74"/>
      <c r="L40" s="74"/>
      <c r="M40" s="74"/>
      <c r="N40" s="74"/>
      <c r="O40" s="74"/>
      <c r="P40" s="74"/>
      <c r="Q40" s="74"/>
      <c r="R40" s="74"/>
      <c r="S40" s="88"/>
      <c r="T40" s="74"/>
      <c r="U40" s="74"/>
      <c r="V40" s="74"/>
    </row>
    <row r="41" spans="1:22" ht="19.5" customHeight="1">
      <c r="A41" s="80"/>
      <c r="B41" s="74"/>
      <c r="C41" s="74"/>
      <c r="D41" s="74"/>
      <c r="E41" s="74"/>
      <c r="F41" s="74"/>
      <c r="G41" s="74"/>
      <c r="H41" s="74"/>
      <c r="I41" s="74"/>
      <c r="J41" s="74"/>
      <c r="K41" s="74"/>
      <c r="L41" s="74"/>
      <c r="M41" s="74"/>
      <c r="N41" s="74"/>
      <c r="O41" s="74"/>
      <c r="P41" s="74"/>
      <c r="Q41" s="74"/>
      <c r="R41" s="74"/>
      <c r="S41" s="88"/>
      <c r="T41" s="74"/>
      <c r="U41" s="74"/>
      <c r="V41" s="74"/>
    </row>
    <row r="42" spans="1:22" ht="19.5" customHeight="1">
      <c r="A42" s="80"/>
      <c r="B42" s="74"/>
      <c r="C42" s="74"/>
      <c r="D42" s="74"/>
      <c r="E42" s="74"/>
      <c r="F42" s="74"/>
      <c r="G42" s="74"/>
      <c r="H42" s="74"/>
      <c r="I42" s="74"/>
      <c r="J42" s="74"/>
      <c r="K42" s="74"/>
      <c r="L42" s="74"/>
      <c r="M42" s="74"/>
      <c r="N42" s="74"/>
      <c r="O42" s="74"/>
      <c r="P42" s="74"/>
      <c r="Q42" s="74"/>
      <c r="R42" s="74"/>
      <c r="S42" s="88"/>
      <c r="T42" s="74"/>
      <c r="U42" s="74"/>
      <c r="V42" s="74"/>
    </row>
    <row r="43" spans="1:22" ht="19.5" customHeight="1">
      <c r="A43" s="80"/>
      <c r="B43" s="74"/>
      <c r="C43" s="74"/>
      <c r="D43" s="74"/>
      <c r="E43" s="74"/>
      <c r="F43" s="74"/>
      <c r="G43" s="74"/>
      <c r="H43" s="74"/>
      <c r="I43" s="74"/>
      <c r="J43" s="74"/>
      <c r="K43" s="74"/>
      <c r="L43" s="74"/>
      <c r="M43" s="74"/>
      <c r="N43" s="74"/>
      <c r="O43" s="74"/>
      <c r="P43" s="74"/>
      <c r="Q43" s="74"/>
      <c r="R43" s="74"/>
      <c r="S43" s="88"/>
      <c r="T43" s="74"/>
      <c r="U43" s="74"/>
      <c r="V43" s="74"/>
    </row>
    <row r="44" spans="1:22" ht="19.5" customHeight="1">
      <c r="A44" s="80"/>
      <c r="B44" s="74"/>
      <c r="C44" s="74"/>
      <c r="D44" s="74"/>
      <c r="E44" s="74"/>
      <c r="F44" s="74"/>
      <c r="G44" s="74"/>
      <c r="H44" s="74"/>
      <c r="I44" s="74"/>
      <c r="J44" s="74"/>
      <c r="K44" s="74"/>
      <c r="L44" s="74"/>
      <c r="M44" s="74"/>
      <c r="N44" s="74"/>
      <c r="O44" s="74"/>
      <c r="P44" s="74"/>
      <c r="Q44" s="74"/>
      <c r="R44" s="74"/>
      <c r="S44" s="88"/>
      <c r="T44" s="74"/>
      <c r="U44" s="74"/>
      <c r="V44" s="74"/>
    </row>
    <row r="45" spans="1:22" ht="19.5" customHeight="1">
      <c r="A45" s="80"/>
      <c r="B45" s="74"/>
      <c r="C45" s="74"/>
      <c r="D45" s="74"/>
      <c r="E45" s="74"/>
      <c r="F45" s="74"/>
      <c r="G45" s="74"/>
      <c r="H45" s="74"/>
      <c r="I45" s="74"/>
      <c r="J45" s="74"/>
      <c r="K45" s="74"/>
      <c r="L45" s="74"/>
      <c r="M45" s="74"/>
      <c r="N45" s="74"/>
      <c r="O45" s="74"/>
      <c r="P45" s="74"/>
      <c r="Q45" s="74"/>
      <c r="R45" s="74"/>
      <c r="S45" s="88"/>
      <c r="T45" s="74"/>
      <c r="U45" s="74"/>
      <c r="V45" s="74"/>
    </row>
    <row r="46" spans="1:22" ht="19.5" customHeight="1">
      <c r="A46" s="80"/>
      <c r="B46" s="74"/>
      <c r="C46" s="74"/>
      <c r="D46" s="74"/>
      <c r="E46" s="74"/>
      <c r="F46" s="74"/>
      <c r="G46" s="74"/>
      <c r="H46" s="74"/>
      <c r="I46" s="74"/>
      <c r="J46" s="74"/>
      <c r="K46" s="74"/>
      <c r="L46" s="74"/>
      <c r="M46" s="74"/>
      <c r="N46" s="74"/>
      <c r="O46" s="74"/>
      <c r="P46" s="74"/>
      <c r="Q46" s="74"/>
      <c r="R46" s="74"/>
      <c r="S46" s="88"/>
      <c r="T46" s="74"/>
      <c r="U46" s="74"/>
      <c r="V46" s="74"/>
    </row>
    <row r="47" spans="1:22" ht="19.5" customHeight="1">
      <c r="A47" s="80"/>
      <c r="B47" s="74"/>
      <c r="C47" s="74"/>
      <c r="D47" s="74"/>
      <c r="E47" s="74"/>
      <c r="F47" s="74"/>
      <c r="G47" s="74"/>
      <c r="H47" s="74"/>
      <c r="I47" s="74"/>
      <c r="J47" s="74"/>
      <c r="K47" s="74"/>
      <c r="L47" s="74"/>
      <c r="M47" s="74"/>
      <c r="N47" s="74"/>
      <c r="O47" s="74"/>
      <c r="P47" s="74"/>
      <c r="Q47" s="74"/>
      <c r="R47" s="74"/>
      <c r="S47" s="88"/>
      <c r="T47" s="74"/>
      <c r="U47" s="74"/>
      <c r="V47" s="74"/>
    </row>
    <row r="48" spans="1:22" ht="19.5" customHeight="1">
      <c r="A48" s="80"/>
      <c r="B48" s="74"/>
      <c r="C48" s="74"/>
      <c r="D48" s="74"/>
      <c r="E48" s="74"/>
      <c r="F48" s="74"/>
      <c r="G48" s="74"/>
      <c r="H48" s="74"/>
      <c r="I48" s="74"/>
      <c r="J48" s="74"/>
      <c r="K48" s="74"/>
      <c r="L48" s="74"/>
      <c r="M48" s="74"/>
      <c r="N48" s="74"/>
      <c r="O48" s="74"/>
      <c r="P48" s="74"/>
      <c r="Q48" s="74"/>
      <c r="R48" s="74"/>
      <c r="S48" s="88"/>
      <c r="T48" s="74"/>
      <c r="U48" s="74"/>
      <c r="V48" s="74"/>
    </row>
    <row r="49" spans="1:22" ht="19.5" customHeight="1">
      <c r="A49" s="80"/>
      <c r="B49" s="74"/>
      <c r="C49" s="74"/>
      <c r="D49" s="74"/>
      <c r="E49" s="74"/>
      <c r="F49" s="74"/>
      <c r="G49" s="74"/>
      <c r="H49" s="74"/>
      <c r="I49" s="74"/>
      <c r="J49" s="74"/>
      <c r="K49" s="74"/>
      <c r="L49" s="74"/>
      <c r="M49" s="74"/>
      <c r="N49" s="74"/>
      <c r="O49" s="74"/>
      <c r="P49" s="74"/>
      <c r="Q49" s="74"/>
      <c r="R49" s="74"/>
      <c r="S49" s="88"/>
      <c r="T49" s="74"/>
      <c r="U49" s="74"/>
      <c r="V49" s="74"/>
    </row>
    <row r="50" spans="1:22" ht="19.5" customHeight="1">
      <c r="A50" s="80"/>
      <c r="B50" s="74"/>
      <c r="C50" s="74"/>
      <c r="D50" s="74"/>
      <c r="E50" s="74"/>
      <c r="F50" s="74"/>
      <c r="G50" s="74"/>
      <c r="H50" s="74"/>
      <c r="I50" s="74"/>
      <c r="J50" s="74"/>
      <c r="K50" s="74"/>
      <c r="L50" s="74"/>
      <c r="M50" s="74"/>
      <c r="N50" s="74"/>
      <c r="O50" s="74"/>
      <c r="P50" s="74"/>
      <c r="Q50" s="74"/>
      <c r="R50" s="74"/>
      <c r="S50" s="88"/>
      <c r="T50" s="74"/>
      <c r="U50" s="74"/>
      <c r="V50" s="74"/>
    </row>
    <row r="51" spans="1:22" ht="19.5" customHeight="1">
      <c r="A51" s="80"/>
      <c r="B51" s="74"/>
      <c r="C51" s="74"/>
      <c r="D51" s="74"/>
      <c r="E51" s="74"/>
      <c r="F51" s="74"/>
      <c r="G51" s="74"/>
      <c r="H51" s="74"/>
      <c r="I51" s="74"/>
      <c r="J51" s="74"/>
      <c r="K51" s="74"/>
      <c r="L51" s="74"/>
      <c r="M51" s="74"/>
      <c r="N51" s="74"/>
      <c r="O51" s="74"/>
      <c r="P51" s="74"/>
      <c r="Q51" s="74"/>
      <c r="R51" s="74"/>
      <c r="S51" s="88"/>
      <c r="T51" s="74"/>
      <c r="U51" s="74"/>
      <c r="V51" s="74"/>
    </row>
    <row r="52" spans="1:22" ht="19.5" customHeight="1">
      <c r="A52" s="80"/>
      <c r="B52" s="74"/>
      <c r="C52" s="74"/>
      <c r="D52" s="74"/>
      <c r="E52" s="74"/>
      <c r="F52" s="74"/>
      <c r="G52" s="74"/>
      <c r="H52" s="74"/>
      <c r="I52" s="74"/>
      <c r="J52" s="74"/>
      <c r="K52" s="74"/>
      <c r="L52" s="74"/>
      <c r="M52" s="74"/>
      <c r="N52" s="74"/>
      <c r="O52" s="74"/>
      <c r="P52" s="74"/>
      <c r="Q52" s="74"/>
      <c r="R52" s="74"/>
      <c r="S52" s="88"/>
      <c r="T52" s="74"/>
      <c r="U52" s="74"/>
      <c r="V52" s="74"/>
    </row>
    <row r="53" spans="1:22" ht="19.5" customHeight="1">
      <c r="A53" s="80"/>
      <c r="B53" s="74"/>
      <c r="C53" s="74"/>
      <c r="D53" s="74"/>
      <c r="E53" s="74"/>
      <c r="F53" s="74"/>
      <c r="G53" s="74"/>
      <c r="H53" s="74"/>
      <c r="I53" s="74"/>
      <c r="J53" s="74"/>
      <c r="K53" s="74"/>
      <c r="L53" s="74"/>
      <c r="M53" s="74"/>
      <c r="N53" s="74"/>
      <c r="O53" s="74"/>
      <c r="P53" s="74"/>
      <c r="Q53" s="74"/>
      <c r="R53" s="74"/>
      <c r="S53" s="88"/>
      <c r="T53" s="74"/>
      <c r="U53" s="74"/>
      <c r="V53" s="74"/>
    </row>
    <row r="54" spans="1:22" ht="19.5" customHeight="1">
      <c r="A54" s="80"/>
      <c r="B54" s="74"/>
      <c r="C54" s="74"/>
      <c r="D54" s="74"/>
      <c r="E54" s="74"/>
      <c r="F54" s="74"/>
      <c r="G54" s="74"/>
      <c r="H54" s="74"/>
      <c r="I54" s="74"/>
      <c r="J54" s="74"/>
      <c r="K54" s="74"/>
      <c r="L54" s="74"/>
      <c r="M54" s="74"/>
      <c r="N54" s="74"/>
      <c r="O54" s="74"/>
      <c r="P54" s="74"/>
      <c r="Q54" s="74"/>
      <c r="R54" s="74"/>
      <c r="S54" s="88"/>
      <c r="T54" s="74"/>
      <c r="U54" s="74"/>
      <c r="V54" s="74"/>
    </row>
    <row r="55" spans="1:22" ht="19.5" customHeight="1">
      <c r="A55" s="80"/>
      <c r="B55" s="74"/>
      <c r="C55" s="74"/>
      <c r="D55" s="74"/>
      <c r="E55" s="74"/>
      <c r="F55" s="74"/>
      <c r="G55" s="74"/>
      <c r="H55" s="74"/>
      <c r="I55" s="74"/>
      <c r="J55" s="74"/>
      <c r="K55" s="74"/>
      <c r="L55" s="74"/>
      <c r="M55" s="74"/>
      <c r="N55" s="74"/>
      <c r="O55" s="74"/>
      <c r="P55" s="74"/>
      <c r="Q55" s="74"/>
      <c r="R55" s="74"/>
      <c r="S55" s="88"/>
      <c r="T55" s="74"/>
      <c r="U55" s="74"/>
      <c r="V55" s="74"/>
    </row>
    <row r="56" spans="1:22" ht="19.5" customHeight="1">
      <c r="A56" s="80"/>
      <c r="B56" s="74"/>
      <c r="C56" s="74"/>
      <c r="D56" s="74"/>
      <c r="E56" s="74"/>
      <c r="F56" s="74"/>
      <c r="G56" s="74"/>
      <c r="H56" s="74"/>
      <c r="I56" s="74"/>
      <c r="J56" s="74"/>
      <c r="K56" s="74"/>
      <c r="L56" s="74"/>
      <c r="M56" s="74"/>
      <c r="N56" s="74"/>
      <c r="O56" s="74"/>
      <c r="P56" s="74"/>
      <c r="Q56" s="74"/>
      <c r="R56" s="74"/>
      <c r="S56" s="88"/>
      <c r="T56" s="74"/>
      <c r="U56" s="74"/>
      <c r="V56" s="74"/>
    </row>
    <row r="57" spans="1:22" ht="19.5" customHeight="1">
      <c r="A57" s="80"/>
      <c r="B57" s="74"/>
      <c r="C57" s="74"/>
      <c r="D57" s="74"/>
      <c r="E57" s="74"/>
      <c r="F57" s="74"/>
      <c r="G57" s="74"/>
      <c r="H57" s="74"/>
      <c r="I57" s="74"/>
      <c r="J57" s="74"/>
      <c r="K57" s="74"/>
      <c r="L57" s="74"/>
      <c r="M57" s="74"/>
      <c r="N57" s="74"/>
      <c r="O57" s="74"/>
      <c r="P57" s="74"/>
      <c r="Q57" s="74"/>
      <c r="R57" s="74"/>
      <c r="S57" s="88"/>
      <c r="T57" s="74"/>
      <c r="U57" s="74"/>
      <c r="V57" s="74"/>
    </row>
    <row r="58" spans="1:22" ht="19.5" customHeight="1">
      <c r="A58" s="80"/>
      <c r="B58" s="74"/>
      <c r="C58" s="74"/>
      <c r="D58" s="74"/>
      <c r="E58" s="74"/>
      <c r="F58" s="74"/>
      <c r="G58" s="74"/>
      <c r="H58" s="74"/>
      <c r="I58" s="74"/>
      <c r="J58" s="74"/>
      <c r="K58" s="74"/>
      <c r="L58" s="74"/>
      <c r="M58" s="74"/>
      <c r="N58" s="74"/>
      <c r="O58" s="74"/>
      <c r="P58" s="74"/>
      <c r="Q58" s="74"/>
      <c r="R58" s="74"/>
      <c r="S58" s="88"/>
      <c r="T58" s="74"/>
      <c r="U58" s="74"/>
      <c r="V58" s="74"/>
    </row>
    <row r="59" spans="1:22" ht="19.5" customHeight="1">
      <c r="A59" s="80"/>
      <c r="B59" s="74"/>
      <c r="C59" s="74"/>
      <c r="D59" s="74"/>
      <c r="E59" s="74"/>
      <c r="F59" s="74"/>
      <c r="G59" s="74"/>
      <c r="H59" s="74"/>
      <c r="I59" s="74"/>
      <c r="J59" s="74"/>
      <c r="K59" s="74"/>
      <c r="L59" s="74"/>
      <c r="M59" s="74"/>
      <c r="N59" s="74"/>
      <c r="O59" s="74"/>
      <c r="P59" s="74"/>
      <c r="Q59" s="74"/>
      <c r="R59" s="74"/>
      <c r="S59" s="88"/>
      <c r="T59" s="74"/>
      <c r="U59" s="74"/>
      <c r="V59" s="74"/>
    </row>
    <row r="60" spans="1:22" ht="19.5" customHeight="1">
      <c r="A60" s="80"/>
      <c r="B60" s="74"/>
      <c r="C60" s="74"/>
      <c r="D60" s="74"/>
      <c r="E60" s="74"/>
      <c r="F60" s="74"/>
      <c r="G60" s="74"/>
      <c r="H60" s="74"/>
      <c r="I60" s="74"/>
      <c r="J60" s="74"/>
      <c r="K60" s="74"/>
      <c r="L60" s="74"/>
      <c r="M60" s="74"/>
      <c r="N60" s="74"/>
      <c r="O60" s="74"/>
      <c r="P60" s="74"/>
      <c r="Q60" s="74"/>
      <c r="R60" s="74"/>
      <c r="S60" s="88"/>
      <c r="T60" s="74"/>
      <c r="U60" s="74"/>
      <c r="V60" s="74"/>
    </row>
    <row r="61" spans="1:22" ht="19.5" customHeight="1">
      <c r="A61" s="80"/>
      <c r="B61" s="74"/>
      <c r="C61" s="74"/>
      <c r="D61" s="74"/>
      <c r="E61" s="74"/>
      <c r="F61" s="74"/>
      <c r="G61" s="74"/>
      <c r="H61" s="74"/>
      <c r="I61" s="74"/>
      <c r="J61" s="74"/>
      <c r="K61" s="74"/>
      <c r="L61" s="74"/>
      <c r="M61" s="74"/>
      <c r="N61" s="74"/>
      <c r="O61" s="74"/>
      <c r="P61" s="74"/>
      <c r="Q61" s="74"/>
      <c r="R61" s="74"/>
      <c r="S61" s="88"/>
      <c r="T61" s="74"/>
      <c r="U61" s="74"/>
      <c r="V61" s="74"/>
    </row>
    <row r="62" spans="1:22" ht="19.5" customHeight="1">
      <c r="A62" s="80"/>
      <c r="B62" s="74"/>
      <c r="C62" s="74"/>
      <c r="D62" s="74"/>
      <c r="E62" s="74"/>
      <c r="F62" s="74"/>
      <c r="G62" s="74"/>
      <c r="H62" s="74"/>
      <c r="I62" s="74"/>
      <c r="J62" s="74"/>
      <c r="K62" s="74"/>
      <c r="L62" s="74"/>
      <c r="M62" s="74"/>
      <c r="N62" s="74"/>
      <c r="O62" s="74"/>
      <c r="P62" s="74"/>
      <c r="Q62" s="74"/>
      <c r="R62" s="74"/>
      <c r="S62" s="88"/>
      <c r="T62" s="74"/>
      <c r="U62" s="74"/>
      <c r="V62" s="74"/>
    </row>
    <row r="63" spans="1:22" ht="19.5" customHeight="1">
      <c r="A63" s="80"/>
      <c r="B63" s="74"/>
      <c r="C63" s="74"/>
      <c r="D63" s="74"/>
      <c r="E63" s="74"/>
      <c r="F63" s="74"/>
      <c r="G63" s="74"/>
      <c r="H63" s="74"/>
      <c r="I63" s="74"/>
      <c r="J63" s="74"/>
      <c r="K63" s="74"/>
      <c r="L63" s="74"/>
      <c r="M63" s="74"/>
      <c r="N63" s="74"/>
      <c r="O63" s="74"/>
      <c r="P63" s="74"/>
      <c r="Q63" s="74"/>
      <c r="R63" s="74"/>
      <c r="S63" s="88"/>
      <c r="T63" s="74"/>
      <c r="U63" s="74"/>
      <c r="V63" s="74"/>
    </row>
    <row r="64" spans="1:22" ht="19.5" customHeight="1">
      <c r="A64" s="80"/>
      <c r="B64" s="74"/>
      <c r="C64" s="74"/>
      <c r="D64" s="74"/>
      <c r="E64" s="74"/>
      <c r="F64" s="74"/>
      <c r="G64" s="74"/>
      <c r="H64" s="74"/>
      <c r="I64" s="74"/>
      <c r="J64" s="74"/>
      <c r="K64" s="74"/>
      <c r="L64" s="74"/>
      <c r="M64" s="74"/>
      <c r="N64" s="74"/>
      <c r="O64" s="74"/>
      <c r="P64" s="74"/>
      <c r="Q64" s="74"/>
      <c r="R64" s="74"/>
      <c r="S64" s="88"/>
      <c r="T64" s="74"/>
      <c r="U64" s="74"/>
      <c r="V64" s="74"/>
    </row>
    <row r="65" spans="1:22" ht="19.5" customHeight="1" thickBot="1">
      <c r="A65" s="89"/>
      <c r="B65" s="90"/>
      <c r="C65" s="90"/>
      <c r="D65" s="90"/>
      <c r="E65" s="90"/>
      <c r="F65" s="90"/>
      <c r="G65" s="90"/>
      <c r="H65" s="90"/>
      <c r="I65" s="90"/>
      <c r="J65" s="90"/>
      <c r="K65" s="90"/>
      <c r="L65" s="90"/>
      <c r="M65" s="90"/>
      <c r="N65" s="90"/>
      <c r="O65" s="90"/>
      <c r="P65" s="90"/>
      <c r="Q65" s="90"/>
      <c r="R65" s="90"/>
      <c r="S65" s="91"/>
      <c r="T65" s="74"/>
      <c r="U65" s="74"/>
      <c r="V65" s="74"/>
    </row>
    <row r="66" spans="1:22" ht="19.5" customHeight="1">
      <c r="B66" s="74"/>
      <c r="C66" s="74"/>
      <c r="D66" s="74"/>
      <c r="E66" s="74"/>
      <c r="F66" s="74"/>
      <c r="G66" s="74"/>
      <c r="H66" s="74"/>
      <c r="I66" s="74"/>
      <c r="J66" s="74"/>
      <c r="K66" s="74"/>
      <c r="L66" s="74"/>
      <c r="M66" s="74"/>
      <c r="N66" s="74"/>
      <c r="O66" s="74"/>
      <c r="P66" s="74"/>
      <c r="Q66" s="74"/>
      <c r="R66" s="74"/>
      <c r="S66" s="74"/>
      <c r="T66" s="74"/>
      <c r="U66" s="74"/>
      <c r="V66" s="74"/>
    </row>
    <row r="67" spans="1:22" ht="19.5" customHeight="1">
      <c r="B67" s="74"/>
      <c r="C67" s="74"/>
      <c r="D67" s="74"/>
      <c r="E67" s="74"/>
      <c r="F67" s="74"/>
      <c r="G67" s="74"/>
      <c r="H67" s="74"/>
      <c r="I67" s="74"/>
      <c r="J67" s="74"/>
      <c r="K67" s="74"/>
      <c r="L67" s="74"/>
      <c r="M67" s="74"/>
      <c r="N67" s="74"/>
      <c r="O67" s="74"/>
      <c r="P67" s="74"/>
      <c r="Q67" s="74"/>
      <c r="R67" s="74"/>
      <c r="S67" s="74"/>
      <c r="T67" s="74"/>
      <c r="U67" s="74"/>
      <c r="V67" s="74"/>
    </row>
    <row r="68" spans="1:22" ht="19.5" customHeight="1">
      <c r="B68" s="74"/>
      <c r="C68" s="74"/>
      <c r="D68" s="74"/>
      <c r="E68" s="74"/>
      <c r="F68" s="74"/>
      <c r="G68" s="74"/>
      <c r="H68" s="74"/>
      <c r="I68" s="74"/>
      <c r="J68" s="74"/>
      <c r="K68" s="74"/>
      <c r="L68" s="74"/>
      <c r="M68" s="74"/>
      <c r="N68" s="74"/>
      <c r="O68" s="74"/>
      <c r="P68" s="74"/>
      <c r="Q68" s="74"/>
      <c r="R68" s="74"/>
      <c r="S68" s="74"/>
      <c r="T68" s="74"/>
      <c r="U68" s="74"/>
      <c r="V68" s="74"/>
    </row>
    <row r="69" spans="1:22" ht="19.5" customHeight="1">
      <c r="B69" s="74"/>
      <c r="C69" s="74"/>
      <c r="D69" s="74"/>
      <c r="E69" s="74"/>
      <c r="F69" s="74"/>
      <c r="G69" s="74"/>
      <c r="H69" s="74"/>
      <c r="I69" s="74"/>
      <c r="J69" s="74"/>
      <c r="K69" s="74"/>
      <c r="L69" s="74"/>
      <c r="M69" s="74"/>
      <c r="N69" s="74"/>
      <c r="O69" s="74"/>
      <c r="P69" s="74"/>
      <c r="Q69" s="74"/>
      <c r="R69" s="74"/>
      <c r="S69" s="74"/>
      <c r="T69" s="74"/>
      <c r="U69" s="74"/>
      <c r="V69" s="74"/>
    </row>
    <row r="70" spans="1:22" ht="19.5" customHeight="1">
      <c r="B70" s="74"/>
      <c r="C70" s="74"/>
      <c r="D70" s="74"/>
      <c r="E70" s="74"/>
      <c r="F70" s="74"/>
      <c r="G70" s="74"/>
      <c r="H70" s="74"/>
      <c r="I70" s="74"/>
      <c r="J70" s="74"/>
      <c r="K70" s="74"/>
      <c r="L70" s="74"/>
      <c r="M70" s="74"/>
      <c r="N70" s="74"/>
      <c r="O70" s="74"/>
      <c r="P70" s="74"/>
      <c r="Q70" s="74"/>
      <c r="R70" s="74"/>
      <c r="S70" s="74"/>
      <c r="T70" s="74"/>
      <c r="U70" s="74"/>
      <c r="V70" s="74"/>
    </row>
    <row r="71" spans="1:22" ht="19.5" customHeight="1">
      <c r="B71" s="74"/>
      <c r="C71" s="74"/>
      <c r="D71" s="74"/>
      <c r="E71" s="74"/>
      <c r="F71" s="74"/>
      <c r="G71" s="74"/>
      <c r="H71" s="74"/>
      <c r="I71" s="74"/>
      <c r="J71" s="74"/>
      <c r="K71" s="74"/>
      <c r="L71" s="74"/>
      <c r="M71" s="74"/>
      <c r="N71" s="74"/>
      <c r="O71" s="74"/>
      <c r="P71" s="74"/>
      <c r="Q71" s="74"/>
      <c r="R71" s="74"/>
      <c r="S71" s="74"/>
      <c r="T71" s="74"/>
      <c r="U71" s="74"/>
      <c r="V71" s="74"/>
    </row>
    <row r="72" spans="1:22" ht="19.5" customHeight="1">
      <c r="B72" s="74"/>
      <c r="C72" s="74"/>
      <c r="D72" s="74"/>
      <c r="E72" s="74"/>
      <c r="F72" s="74"/>
      <c r="G72" s="74"/>
      <c r="H72" s="74"/>
      <c r="I72" s="74"/>
      <c r="J72" s="74"/>
      <c r="K72" s="74"/>
      <c r="L72" s="74"/>
      <c r="M72" s="74"/>
      <c r="N72" s="74"/>
      <c r="O72" s="74"/>
      <c r="P72" s="74"/>
      <c r="Q72" s="74"/>
      <c r="R72" s="74"/>
      <c r="S72" s="74"/>
      <c r="T72" s="74"/>
      <c r="U72" s="74"/>
      <c r="V72" s="74"/>
    </row>
    <row r="73" spans="1:22" ht="19.5" customHeight="1">
      <c r="B73" s="74"/>
      <c r="C73" s="74"/>
      <c r="D73" s="74"/>
      <c r="E73" s="74"/>
      <c r="F73" s="74"/>
      <c r="G73" s="74"/>
      <c r="H73" s="74"/>
      <c r="I73" s="74"/>
      <c r="J73" s="74"/>
      <c r="K73" s="74"/>
      <c r="L73" s="74"/>
      <c r="M73" s="74"/>
      <c r="N73" s="74"/>
      <c r="O73" s="74"/>
      <c r="P73" s="74"/>
      <c r="Q73" s="74"/>
      <c r="R73" s="74"/>
      <c r="S73" s="74"/>
      <c r="T73" s="74"/>
      <c r="U73" s="74"/>
      <c r="V73" s="74"/>
    </row>
    <row r="74" spans="1:22" ht="19.5" customHeight="1">
      <c r="B74" s="74"/>
      <c r="C74" s="74"/>
      <c r="D74" s="74"/>
      <c r="E74" s="74"/>
      <c r="F74" s="74"/>
      <c r="G74" s="74"/>
      <c r="H74" s="74"/>
      <c r="I74" s="74"/>
      <c r="J74" s="74"/>
      <c r="K74" s="74"/>
      <c r="L74" s="74"/>
      <c r="M74" s="74"/>
      <c r="N74" s="74"/>
      <c r="O74" s="74"/>
      <c r="P74" s="74"/>
      <c r="Q74" s="74"/>
      <c r="R74" s="74"/>
      <c r="S74" s="74"/>
      <c r="T74" s="74"/>
      <c r="U74" s="74"/>
      <c r="V74" s="74"/>
    </row>
    <row r="75" spans="1:22" ht="19.5" customHeight="1">
      <c r="B75" s="74"/>
      <c r="C75" s="74"/>
      <c r="D75" s="74"/>
      <c r="E75" s="74"/>
      <c r="F75" s="74"/>
      <c r="G75" s="74"/>
      <c r="H75" s="74"/>
      <c r="I75" s="74"/>
      <c r="J75" s="74"/>
      <c r="K75" s="74"/>
      <c r="L75" s="74"/>
      <c r="M75" s="74"/>
      <c r="N75" s="74"/>
      <c r="O75" s="74"/>
      <c r="P75" s="74"/>
      <c r="Q75" s="74"/>
      <c r="R75" s="74"/>
      <c r="S75" s="74"/>
      <c r="T75" s="74"/>
      <c r="U75" s="74"/>
      <c r="V75" s="74"/>
    </row>
    <row r="76" spans="1:22" ht="19.5" customHeight="1">
      <c r="B76" s="74"/>
      <c r="C76" s="74"/>
      <c r="D76" s="74"/>
      <c r="E76" s="74"/>
      <c r="F76" s="74"/>
      <c r="G76" s="74"/>
      <c r="H76" s="74"/>
      <c r="I76" s="74"/>
      <c r="J76" s="74"/>
      <c r="K76" s="74"/>
      <c r="L76" s="74"/>
      <c r="M76" s="74"/>
      <c r="N76" s="74"/>
      <c r="O76" s="74"/>
      <c r="P76" s="74"/>
      <c r="Q76" s="74"/>
      <c r="R76" s="74"/>
      <c r="S76" s="74"/>
      <c r="T76" s="74"/>
      <c r="U76" s="74"/>
      <c r="V76" s="74"/>
    </row>
    <row r="77" spans="1:22" ht="19.5" customHeight="1">
      <c r="B77" s="74"/>
      <c r="C77" s="74"/>
      <c r="D77" s="74"/>
      <c r="E77" s="74"/>
      <c r="F77" s="74"/>
      <c r="G77" s="74"/>
      <c r="H77" s="74"/>
      <c r="I77" s="74"/>
      <c r="J77" s="74"/>
      <c r="K77" s="74"/>
      <c r="L77" s="74"/>
      <c r="M77" s="74"/>
      <c r="N77" s="74"/>
      <c r="O77" s="74"/>
      <c r="P77" s="74"/>
      <c r="Q77" s="74"/>
      <c r="R77" s="74"/>
      <c r="S77" s="74"/>
      <c r="T77" s="74"/>
      <c r="U77" s="74"/>
      <c r="V77" s="74"/>
    </row>
    <row r="78" spans="1:22" ht="19.5" customHeight="1">
      <c r="B78" s="74"/>
      <c r="C78" s="74"/>
      <c r="D78" s="74"/>
      <c r="E78" s="74"/>
      <c r="F78" s="74"/>
      <c r="G78" s="74"/>
      <c r="H78" s="74"/>
      <c r="I78" s="74"/>
      <c r="J78" s="74"/>
      <c r="K78" s="74"/>
      <c r="L78" s="74"/>
      <c r="M78" s="74"/>
      <c r="N78" s="74"/>
      <c r="O78" s="74"/>
      <c r="P78" s="74"/>
      <c r="Q78" s="74"/>
      <c r="R78" s="74"/>
      <c r="S78" s="74"/>
      <c r="T78" s="74"/>
      <c r="U78" s="74"/>
      <c r="V78" s="74"/>
    </row>
    <row r="79" spans="1:22" ht="19.5" customHeight="1">
      <c r="B79" s="74"/>
      <c r="C79" s="74"/>
      <c r="D79" s="74"/>
      <c r="E79" s="74"/>
      <c r="F79" s="74"/>
      <c r="G79" s="74"/>
      <c r="H79" s="74"/>
      <c r="I79" s="74"/>
      <c r="J79" s="74"/>
      <c r="K79" s="74"/>
      <c r="L79" s="74"/>
      <c r="M79" s="74"/>
      <c r="N79" s="74"/>
      <c r="O79" s="74"/>
      <c r="P79" s="74"/>
      <c r="Q79" s="74"/>
      <c r="R79" s="74"/>
      <c r="S79" s="74"/>
      <c r="T79" s="74"/>
      <c r="U79" s="74"/>
      <c r="V79" s="74"/>
    </row>
    <row r="80" spans="1:22" ht="14.4" customHeight="1">
      <c r="B80" s="74"/>
      <c r="C80" s="74"/>
      <c r="D80" s="74"/>
      <c r="E80" s="74"/>
      <c r="F80" s="74"/>
      <c r="G80" s="74"/>
      <c r="H80" s="74"/>
      <c r="I80" s="74"/>
      <c r="J80" s="74"/>
      <c r="K80" s="74"/>
      <c r="L80" s="74"/>
      <c r="M80" s="74"/>
      <c r="N80" s="74"/>
      <c r="O80" s="74"/>
      <c r="P80" s="74"/>
      <c r="Q80" s="74"/>
      <c r="R80" s="74"/>
      <c r="S80" s="74"/>
      <c r="T80" s="74"/>
      <c r="U80" s="74"/>
      <c r="V80" s="74"/>
    </row>
    <row r="81" spans="2:23" ht="19.5" customHeight="1">
      <c r="B81" s="74"/>
      <c r="C81" s="74"/>
      <c r="D81" s="74"/>
      <c r="E81" s="74"/>
      <c r="F81" s="74"/>
      <c r="G81" s="74"/>
      <c r="H81" s="74"/>
      <c r="I81" s="74"/>
      <c r="J81" s="74"/>
      <c r="K81" s="74"/>
      <c r="L81" s="74"/>
      <c r="M81" s="74"/>
      <c r="N81" s="74"/>
      <c r="O81" s="74"/>
      <c r="P81" s="74"/>
      <c r="Q81" s="74"/>
      <c r="R81" s="74"/>
      <c r="S81" s="74"/>
      <c r="T81" s="74"/>
      <c r="U81" s="74"/>
      <c r="V81" s="74"/>
      <c r="W81" s="42"/>
    </row>
    <row r="82" spans="2:23" ht="14.4" customHeight="1">
      <c r="B82" s="74"/>
      <c r="C82" s="74"/>
      <c r="D82" s="74"/>
      <c r="E82" s="74"/>
      <c r="F82" s="74"/>
      <c r="G82" s="74"/>
      <c r="H82" s="74"/>
      <c r="I82" s="74"/>
      <c r="J82" s="74"/>
      <c r="K82" s="74"/>
      <c r="L82" s="74"/>
      <c r="M82" s="74"/>
      <c r="N82" s="74"/>
      <c r="O82" s="74"/>
      <c r="P82" s="74"/>
      <c r="Q82" s="74"/>
      <c r="R82" s="74"/>
      <c r="S82" s="74"/>
      <c r="T82" s="74"/>
      <c r="U82" s="74"/>
      <c r="V82" s="74"/>
    </row>
    <row r="83" spans="2:23" ht="14.4" customHeight="1">
      <c r="B83" s="74"/>
      <c r="C83" s="74"/>
      <c r="D83" s="74"/>
      <c r="E83" s="74"/>
      <c r="F83" s="74"/>
      <c r="G83" s="74"/>
      <c r="H83" s="74"/>
      <c r="I83" s="74"/>
      <c r="J83" s="74"/>
      <c r="K83" s="74"/>
      <c r="L83" s="74"/>
      <c r="M83" s="74"/>
      <c r="N83" s="74"/>
      <c r="O83" s="74"/>
      <c r="P83" s="74"/>
      <c r="Q83" s="74"/>
      <c r="R83" s="74"/>
      <c r="S83" s="74"/>
      <c r="T83" s="74"/>
      <c r="U83" s="74"/>
      <c r="V83" s="74"/>
    </row>
    <row r="84" spans="2:23" ht="14.4" customHeight="1">
      <c r="B84" s="74"/>
      <c r="C84" s="74"/>
      <c r="D84" s="74"/>
      <c r="E84" s="74"/>
      <c r="F84" s="74"/>
      <c r="G84" s="74"/>
      <c r="H84" s="74"/>
      <c r="I84" s="74"/>
      <c r="J84" s="74"/>
      <c r="K84" s="74"/>
      <c r="L84" s="74"/>
      <c r="M84" s="74"/>
      <c r="N84" s="74"/>
      <c r="O84" s="74"/>
      <c r="P84" s="74"/>
      <c r="Q84" s="74"/>
      <c r="R84" s="74"/>
      <c r="S84" s="74"/>
      <c r="T84" s="74"/>
      <c r="U84" s="74"/>
      <c r="V84" s="74"/>
    </row>
    <row r="85" spans="2:23" ht="14.4" customHeight="1">
      <c r="B85" s="74"/>
      <c r="C85" s="74"/>
      <c r="D85" s="74"/>
      <c r="E85" s="74"/>
      <c r="F85" s="74"/>
      <c r="G85" s="74"/>
      <c r="H85" s="74"/>
      <c r="I85" s="74"/>
      <c r="J85" s="74"/>
      <c r="K85" s="74"/>
      <c r="L85" s="74"/>
      <c r="M85" s="74"/>
      <c r="N85" s="74"/>
      <c r="O85" s="74"/>
      <c r="P85" s="74"/>
      <c r="Q85" s="74"/>
      <c r="R85" s="74"/>
      <c r="S85" s="74"/>
      <c r="T85" s="74"/>
      <c r="U85" s="74"/>
      <c r="V85" s="74"/>
    </row>
    <row r="86" spans="2:23" ht="14.4" customHeight="1">
      <c r="B86" s="74"/>
      <c r="C86" s="74"/>
      <c r="D86" s="74"/>
      <c r="E86" s="74"/>
      <c r="F86" s="74"/>
      <c r="G86" s="74"/>
      <c r="H86" s="74"/>
      <c r="I86" s="74"/>
      <c r="J86" s="74"/>
      <c r="K86" s="74"/>
      <c r="L86" s="74"/>
      <c r="M86" s="74"/>
      <c r="N86" s="74"/>
      <c r="O86" s="74"/>
      <c r="P86" s="74"/>
      <c r="Q86" s="74"/>
      <c r="R86" s="74"/>
      <c r="S86" s="74"/>
      <c r="T86" s="74"/>
      <c r="U86" s="74"/>
      <c r="V86" s="74"/>
    </row>
    <row r="87" spans="2:23" ht="14.4" customHeight="1">
      <c r="B87" s="74"/>
      <c r="C87" s="74"/>
      <c r="D87" s="74"/>
      <c r="E87" s="74"/>
      <c r="F87" s="74"/>
      <c r="G87" s="74"/>
      <c r="H87" s="74"/>
      <c r="I87" s="74"/>
      <c r="J87" s="74"/>
      <c r="K87" s="74"/>
      <c r="L87" s="74"/>
      <c r="M87" s="74"/>
      <c r="N87" s="74"/>
      <c r="O87" s="74"/>
      <c r="P87" s="74"/>
      <c r="Q87" s="74"/>
      <c r="R87" s="74"/>
      <c r="S87" s="74"/>
      <c r="T87" s="74"/>
      <c r="U87" s="74"/>
      <c r="V87" s="74"/>
    </row>
  </sheetData>
  <mergeCells count="33">
    <mergeCell ref="C2:P2"/>
    <mergeCell ref="C6:D6"/>
    <mergeCell ref="F6:G6"/>
    <mergeCell ref="I6:J6"/>
    <mergeCell ref="L6:M6"/>
    <mergeCell ref="O6:P6"/>
    <mergeCell ref="C7:D8"/>
    <mergeCell ref="F7:G8"/>
    <mergeCell ref="I7:J8"/>
    <mergeCell ref="L7:M8"/>
    <mergeCell ref="O7:P8"/>
    <mergeCell ref="O11:P11"/>
    <mergeCell ref="C9:D9"/>
    <mergeCell ref="F9:G9"/>
    <mergeCell ref="I9:J9"/>
    <mergeCell ref="L9:M9"/>
    <mergeCell ref="O9:P9"/>
    <mergeCell ref="C4:Q5"/>
    <mergeCell ref="C10:P10"/>
    <mergeCell ref="C14:D14"/>
    <mergeCell ref="F14:G14"/>
    <mergeCell ref="I14:J14"/>
    <mergeCell ref="L14:M14"/>
    <mergeCell ref="O14:P14"/>
    <mergeCell ref="C12:D13"/>
    <mergeCell ref="F12:G13"/>
    <mergeCell ref="I12:J13"/>
    <mergeCell ref="L12:M13"/>
    <mergeCell ref="O12:P13"/>
    <mergeCell ref="C11:D11"/>
    <mergeCell ref="F11:G11"/>
    <mergeCell ref="I11:J11"/>
    <mergeCell ref="L11:M11"/>
  </mergeCells>
  <pageMargins left="0.75" right="0.75" top="1" bottom="1" header="0.511811023622047" footer="0.511811023622047"/>
  <pageSetup paperSize="9" orientation="portrait" horizontalDpi="300" verticalDpi="300"/>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90724-AE65-4F60-AD14-D99F14FE7C0A}">
  <dimension ref="A1"/>
  <sheetViews>
    <sheetView showGridLines="0" workbookViewId="0"/>
  </sheetViews>
  <sheetFormatPr defaultRowHeight="14.4"/>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0322F-81B6-4D5F-9017-292EBD43085B}">
  <dimension ref="A1"/>
  <sheetViews>
    <sheetView showGridLines="0" workbookViewId="0">
      <selection activeCell="K19" sqref="K19"/>
    </sheetView>
  </sheetViews>
  <sheetFormatPr defaultRowHeight="14.4"/>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6BAB3-9F4F-46DC-A4E6-6E3319E9ACB6}">
  <dimension ref="A1"/>
  <sheetViews>
    <sheetView showGridLines="0" topLeftCell="A4" workbookViewId="0">
      <selection activeCell="I21" sqref="I21"/>
    </sheetView>
  </sheetViews>
  <sheetFormatPr defaultRowHeight="14.4"/>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281EA6-2C22-48AF-8B8C-FBA95F6E2318}">
  <sheetPr codeName="Sheet7"/>
  <dimension ref="B2:J10"/>
  <sheetViews>
    <sheetView zoomScale="56" workbookViewId="0">
      <selection activeCell="C9" sqref="C9"/>
    </sheetView>
  </sheetViews>
  <sheetFormatPr defaultRowHeight="14.4"/>
  <cols>
    <col min="2" max="2" width="22.77734375" customWidth="1"/>
    <col min="3" max="3" width="25.44140625" customWidth="1"/>
  </cols>
  <sheetData>
    <row r="2" spans="2:10" ht="28.8" customHeight="1">
      <c r="B2" s="72" t="s">
        <v>15</v>
      </c>
      <c r="C2" s="68">
        <v>5</v>
      </c>
      <c r="D2" s="70"/>
      <c r="E2" s="70"/>
      <c r="F2" s="70"/>
      <c r="G2" s="71"/>
      <c r="H2" s="70"/>
      <c r="I2" s="70"/>
      <c r="J2" s="70"/>
    </row>
    <row r="3" spans="2:10" ht="33.6" customHeight="1">
      <c r="B3" s="72" t="s">
        <v>891</v>
      </c>
      <c r="C3" s="68">
        <v>5</v>
      </c>
    </row>
    <row r="4" spans="2:10" ht="23.4" customHeight="1">
      <c r="B4" s="66" t="s">
        <v>17</v>
      </c>
      <c r="C4" s="73">
        <v>6</v>
      </c>
    </row>
    <row r="5" spans="2:10" ht="29.4" customHeight="1">
      <c r="B5" s="66" t="s">
        <v>890</v>
      </c>
      <c r="C5" s="68">
        <v>32</v>
      </c>
    </row>
    <row r="6" spans="2:10" ht="26.4" customHeight="1">
      <c r="B6" s="66" t="s">
        <v>889</v>
      </c>
      <c r="C6" s="69">
        <v>6</v>
      </c>
    </row>
    <row r="7" spans="2:10" ht="28.8" customHeight="1">
      <c r="B7" s="66" t="s">
        <v>20</v>
      </c>
      <c r="C7" s="68">
        <v>6</v>
      </c>
    </row>
    <row r="8" spans="2:10" ht="32.4" customHeight="1">
      <c r="B8" s="66" t="s">
        <v>892</v>
      </c>
      <c r="C8" s="68">
        <v>65</v>
      </c>
    </row>
    <row r="9" spans="2:10" ht="24.6" customHeight="1">
      <c r="B9" s="66" t="s">
        <v>893</v>
      </c>
      <c r="C9" s="68">
        <v>5</v>
      </c>
    </row>
    <row r="10" spans="2:10" ht="18.600000000000001" customHeight="1"/>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6" r:id="rId3" name="Button 6">
              <controlPr defaultSize="0" print="0" autoFill="0" autoPict="0" macro="[0]!inshart_4">
                <anchor moveWithCells="1" sizeWithCells="1">
                  <from>
                    <xdr:col>3</xdr:col>
                    <xdr:colOff>487680</xdr:colOff>
                    <xdr:row>1</xdr:row>
                    <xdr:rowOff>312420</xdr:rowOff>
                  </from>
                  <to>
                    <xdr:col>4</xdr:col>
                    <xdr:colOff>449580</xdr:colOff>
                    <xdr:row>3</xdr:row>
                    <xdr:rowOff>45720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8150C-CF3F-4C44-A1B7-85E3B36CFC92}">
  <dimension ref="A1"/>
  <sheetViews>
    <sheetView showGridLines="0" workbookViewId="0">
      <selection activeCell="P22" sqref="P22"/>
    </sheetView>
  </sheetViews>
  <sheetFormatPr defaultRowHeight="14.4"/>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024A2019-EFD7-4BE8-A6E6-D78FD156C7DB}">
  <ds:schemaRefs/>
</ds:datastoreItem>
</file>

<file path=customXml/itemProps2.xml><?xml version="1.0" encoding="utf-8"?>
<ds:datastoreItem xmlns:ds="http://schemas.openxmlformats.org/officeDocument/2006/customXml" ds:itemID="{66A68601-5336-4FB5-835E-1717A5A66A5D}">
  <ds:schemaRefs/>
</ds:datastoreItem>
</file>

<file path=customXml/itemProps3.xml><?xml version="1.0" encoding="utf-8"?>
<ds:datastoreItem xmlns:ds="http://schemas.openxmlformats.org/officeDocument/2006/customXml" ds:itemID="{5836386A-5F82-4745-9D71-F3F1FC3F0EA5}">
  <ds:schemaRefs>
    <ds:schemaRef ds:uri="http://schemas.microsoft.com/DataMashup"/>
  </ds:schemaRefs>
</ds:datastoreItem>
</file>

<file path=customXml/itemProps4.xml><?xml version="1.0" encoding="utf-8"?>
<ds:datastoreItem xmlns:ds="http://schemas.openxmlformats.org/officeDocument/2006/customXml" ds:itemID="{F7348DCC-4A0D-4EDE-8D58-51EE4EF83BAD}">
  <ds:schemaRefs/>
</ds:datastoreItem>
</file>

<file path=customXml/itemProps5.xml><?xml version="1.0" encoding="utf-8"?>
<ds:datastoreItem xmlns:ds="http://schemas.openxmlformats.org/officeDocument/2006/customXml" ds:itemID="{2F9E9537-89DE-4FA0-8B63-6DA450F5208B}">
  <ds:schemaRefs/>
</ds:datastoreItem>
</file>

<file path=customXml/itemProps6.xml><?xml version="1.0" encoding="utf-8"?>
<ds:datastoreItem xmlns:ds="http://schemas.openxmlformats.org/officeDocument/2006/customXml" ds:itemID="{C633EB7B-3CA5-433E-A145-EC28E7CA642F}">
  <ds:schemaRefs/>
</ds:datastoreItem>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 Home</vt:lpstr>
      <vt:lpstr>📋 Instructions</vt:lpstr>
      <vt:lpstr>📂 Raw Data</vt:lpstr>
      <vt:lpstr>✅ Clean Data</vt:lpstr>
      <vt:lpstr>🔍 Dept Summary</vt:lpstr>
      <vt:lpstr>📊 Dashboard</vt:lpstr>
      <vt:lpstr>Sheet5</vt:lpstr>
      <vt:lpstr>Sheet4</vt:lpstr>
      <vt:lpstr>Sheet3</vt:lpstr>
      <vt:lpstr>Sheet2</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Arnik jana</cp:lastModifiedBy>
  <cp:revision>1</cp:revision>
  <dcterms:created xsi:type="dcterms:W3CDTF">2026-05-28T18:04:02Z</dcterms:created>
  <dcterms:modified xsi:type="dcterms:W3CDTF">2026-05-29T04:48:43Z</dcterms:modified>
  <dc:language>en-US</dc:language>
</cp:coreProperties>
</file>